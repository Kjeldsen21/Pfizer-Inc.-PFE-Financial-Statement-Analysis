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docs.live.net/b403478d6f95c463/Desktop/Semester 6 Classes/HST330- Business Finance/Group Assignment/"/>
    </mc:Choice>
  </mc:AlternateContent>
  <xr:revisionPtr revIDLastSave="0" documentId="8_{55E603BE-9E83-4AFF-AD9C-AFFE4662F74D}" xr6:coauthVersionLast="47" xr6:coauthVersionMax="47" xr10:uidLastSave="{00000000-0000-0000-0000-000000000000}"/>
  <bookViews>
    <workbookView xWindow="-120" yWindow="-120" windowWidth="29040" windowHeight="15720" xr2:uid="{16D42B66-23CB-4D55-A37C-7961D93DE771}"/>
  </bookViews>
  <sheets>
    <sheet name="Sheet1- Corp. Profile &amp; Datas" sheetId="8" r:id="rId1"/>
    <sheet name="Sheet2- Cashflow Statement" sheetId="11" r:id="rId2"/>
    <sheet name="Sheet3- Ratios &amp; Balance Sheet" sheetId="3" r:id="rId3"/>
    <sheet name="Sheet4- Income Statement" sheetId="12" r:id="rId4"/>
    <sheet name="Sheet5- DOL" sheetId="5" r:id="rId5"/>
    <sheet name="Sheet6- CCC"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5" l="1"/>
  <c r="B19" i="5"/>
  <c r="B17" i="5"/>
  <c r="C3" i="5"/>
  <c r="B3" i="5"/>
  <c r="C11" i="5"/>
  <c r="C12" i="5"/>
  <c r="B12" i="5"/>
  <c r="B11" i="5"/>
  <c r="B10" i="6"/>
  <c r="B8" i="6"/>
  <c r="C5" i="6" a="1"/>
  <c r="C5" i="6"/>
  <c r="C13" i="5"/>
  <c r="B13" i="5"/>
  <c r="D4" i="5"/>
  <c r="E4" i="5" s="1"/>
  <c r="D3" i="5"/>
  <c r="E3" i="5" s="1"/>
  <c r="E5" i="5" s="1"/>
  <c r="C7" i="6" a="1"/>
  <c r="C7" i="6" s="1"/>
  <c r="D6" i="6"/>
  <c r="C6" i="6"/>
  <c r="C4" i="6" a="1"/>
  <c r="C4" i="6" s="1"/>
  <c r="F12" i="3" a="1"/>
  <c r="G11" i="3"/>
  <c r="F11" i="3"/>
  <c r="F10" i="3" a="1"/>
  <c r="F9" i="3" a="1"/>
  <c r="F9" i="3" s="1"/>
  <c r="F8" i="3" a="1"/>
  <c r="F7" i="3" a="1"/>
  <c r="F7" i="3" s="1"/>
  <c r="G6" i="3"/>
  <c r="F6" i="3"/>
  <c r="G5" i="3"/>
  <c r="F5" i="3"/>
  <c r="F4" i="3" a="1"/>
  <c r="F4" i="3" s="1"/>
  <c r="F3" i="3" a="1"/>
  <c r="F3" i="3" s="1"/>
  <c r="F2" i="3" a="1"/>
  <c r="E6" i="3"/>
  <c r="E4" i="3"/>
  <c r="E3" i="3"/>
  <c r="E2" i="3"/>
  <c r="C40" i="3"/>
  <c r="B40" i="3"/>
  <c r="C21" i="3"/>
  <c r="B21" i="3"/>
  <c r="F2" i="3" l="1"/>
  <c r="H16" i="3"/>
  <c r="H15" i="3"/>
  <c r="G18" i="3"/>
  <c r="G17" i="3"/>
  <c r="H18" i="3"/>
  <c r="H17" i="3"/>
  <c r="F8" i="3"/>
  <c r="G20" i="3" s="1"/>
  <c r="H20" i="3"/>
  <c r="F10" i="3"/>
  <c r="G19" i="3" s="1"/>
  <c r="H19" i="3"/>
  <c r="G24" i="3"/>
  <c r="H24" i="3"/>
  <c r="F12" i="3"/>
  <c r="H23" i="3"/>
  <c r="H22" i="3"/>
  <c r="H21" i="3"/>
  <c r="B9" i="6"/>
  <c r="D11" i="6"/>
  <c r="D13" i="6"/>
  <c r="C13" i="6"/>
  <c r="C11" i="6"/>
  <c r="D12" i="6" l="1"/>
  <c r="D14" i="6" s="1"/>
  <c r="C12" i="6"/>
  <c r="G23" i="3"/>
  <c r="G22" i="3"/>
  <c r="G21" i="3"/>
  <c r="G16" i="3"/>
  <c r="G15" i="3"/>
  <c r="C1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Kjeldsen Bunagan</author>
  </authors>
  <commentList>
    <comment ref="A3" authorId="0" shapeId="0" xr:uid="{41705413-99DF-474D-8E75-EFFB624C5975}">
      <text>
        <r>
          <rPr>
            <sz val="11"/>
            <color theme="1"/>
            <rFont val="Aptos Narrow"/>
            <family val="2"/>
            <scheme val="minor"/>
          </rPr>
          <t>Pfizer Inc.'s interest expenses are listed under Other (Income)/Deductions-net account and was re-added to account for EBIT.
Interest Expense by Year
2022= $1,238
2021= $1,291</t>
        </r>
      </text>
    </comment>
    <comment ref="A11" authorId="0" shapeId="0" xr:uid="{DEFACE9B-2B01-435F-B5BD-641FF6F4FCC7}">
      <text>
        <r>
          <rPr>
            <sz val="11"/>
            <color theme="1"/>
            <rFont val="Aptos Narrow"/>
            <family val="2"/>
            <scheme val="minor"/>
          </rPr>
          <t>Pfizer Inc.'s interest expenses are listed under Other (Income)/Deductions-net account and was re-added to account for EBIT.
Interest Expense by Year
2022= $1,238
2021= $1,291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Nesthy Bunagan</author>
  </authors>
  <commentList>
    <comment ref="A6" authorId="0" shapeId="0" xr:uid="{F1AA0B69-7520-4255-A661-93243E231B73}">
      <text>
        <r>
          <rPr>
            <b/>
            <sz val="9"/>
            <color indexed="81"/>
            <rFont val="Tahoma"/>
            <family val="2"/>
          </rPr>
          <t>Less allowance for doubtful accounts: 
2022—$449; 
2021—$492</t>
        </r>
        <r>
          <rPr>
            <sz val="9"/>
            <color indexed="81"/>
            <rFont val="Tahoma"/>
            <family val="2"/>
          </rPr>
          <t xml:space="preserve">
</t>
        </r>
      </text>
    </comment>
    <comment ref="A12" authorId="0" shapeId="0" xr:uid="{FEDF5F31-4C32-4FF2-85E0-CD25A0674A25}">
      <text>
        <r>
          <rPr>
            <b/>
            <sz val="9"/>
            <color indexed="81"/>
            <rFont val="Tahoma"/>
            <family val="2"/>
          </rPr>
          <t>Revenue will be used in place of Credit Sales to Calculate DSO.
Therefore:
(Average AR/Revenue)*365</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3BB9E3-2C42-4039-9569-D5598294526A}" keepAlive="1" name="Query - Table127 (Page 52)" description="Connection to the 'Table127 (Page 52)' query in the workbook." type="5" refreshedVersion="8" background="1" saveData="1">
    <dbPr connection="Provider=Microsoft.Mashup.OleDb.1;Data Source=$Workbook$;Location=&quot;Table127 (Page 52)&quot;;Extended Properties=&quot;&quot;" command="SELECT * FROM [Table127 (Page 52)]"/>
  </connection>
  <connection id="2" xr16:uid="{4EAC081C-5B0E-48BF-9366-B46D70FD39F5}" keepAlive="1" name="Query - Table131 (Page 54)" description="Connection to the 'Table131 (Page 54)' query in the workbook." type="5" refreshedVersion="8" background="1" saveData="1">
    <dbPr connection="Provider=Microsoft.Mashup.OleDb.1;Data Source=$Workbook$;Location=&quot;Table131 (Page 54)&quot;;Extended Properties=&quot;&quot;" command="SELECT * FROM [Table131 (Page 54)]"/>
  </connection>
  <connection id="3" xr16:uid="{AC99B34A-88A0-42EE-8822-DF01332A6CF1}" keepAlive="1" name="Query - Table135 (Page 56)" description="Connection to the 'Table135 (Page 56)' query in the workbook." type="5" refreshedVersion="0" background="1" saveData="1">
    <dbPr connection="Provider=Microsoft.Mashup.OleDb.1;Data Source=$Workbook$;Location=&quot;Table135 (Page 56)&quot;;Extended Properties=&quot;&quot;" command="SELECT * FROM [Table135 (Page 5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<sst xmlns="http://schemas.openxmlformats.org/spreadsheetml/2006/main" count="269" uniqueCount="174">
  <si>
    <t>Consolidated Balance Sheets- Pfizer Inc.</t>
  </si>
  <si>
    <t>Consolidated Statements of Income- Pfizer Inc.</t>
  </si>
  <si>
    <t>(In Millions, Except Per Share Data)</t>
  </si>
  <si>
    <t>As of December 31,</t>
  </si>
  <si>
    <t>Assets</t>
  </si>
  <si>
    <t>Revenues</t>
  </si>
  <si>
    <t>Cash and cash equivalents</t>
  </si>
  <si>
    <t>Costs and expenses:</t>
  </si>
  <si>
    <t>Short-term investments</t>
  </si>
  <si>
    <t>Cost of sales</t>
  </si>
  <si>
    <t>Trade accounts receivable, less allowance for doubtful accounts: 2022—$449; 2021—$492</t>
  </si>
  <si>
    <t>Selling, informational and administrative expenses</t>
  </si>
  <si>
    <t>Inventories</t>
  </si>
  <si>
    <t>Research and development expenses</t>
  </si>
  <si>
    <t>Current tax assets</t>
  </si>
  <si>
    <t>Acquired in-process research and development expenses</t>
  </si>
  <si>
    <t>Other current assets</t>
  </si>
  <si>
    <t>Amortization of intangible assets</t>
  </si>
  <si>
    <t>Total current assets</t>
  </si>
  <si>
    <t>Restructuring charges and certain acquisition-related costs</t>
  </si>
  <si>
    <t>Equity-method investments</t>
  </si>
  <si>
    <t>Other (income)/deductions––net</t>
  </si>
  <si>
    <t>Long-term investments</t>
  </si>
  <si>
    <t>Income from continuing operations before provision/(benefit) for taxes on income</t>
  </si>
  <si>
    <t>Property, plant and equipment</t>
  </si>
  <si>
    <t>Provision/(benefit) for taxes on income</t>
  </si>
  <si>
    <t>Identifiable intangible assets</t>
  </si>
  <si>
    <t>Income from continuing operations</t>
  </si>
  <si>
    <t>Goodwill</t>
  </si>
  <si>
    <t>Discontinued operations––net of tax</t>
  </si>
  <si>
    <t>Noncurrent deferred tax assets and other noncurrent tax assets</t>
  </si>
  <si>
    <t>Net income before allocation to noncontrolling interests</t>
  </si>
  <si>
    <t>Other noncurrent assets</t>
  </si>
  <si>
    <t>Less: Net income attributable to noncontrolling interests</t>
  </si>
  <si>
    <t>Total assets</t>
  </si>
  <si>
    <t>Net income attributable to Pfizer Inc. common shareholders</t>
  </si>
  <si>
    <t>Liabilities and Equity</t>
  </si>
  <si>
    <t>Earnings per common share– Basic:</t>
  </si>
  <si>
    <t>Short-term borrowings, including current portion of long-term debt: 2022—$2,560; 2021—$1,636</t>
  </si>
  <si>
    <t>Income from continuing operations attributable to Pfizer Inc. common shareholders</t>
  </si>
  <si>
    <t>Trade accounts payable</t>
  </si>
  <si>
    <t>—</t>
  </si>
  <si>
    <t>Dividends payable</t>
  </si>
  <si>
    <t>Income taxes payable</t>
  </si>
  <si>
    <t>Accrued compensation and related items</t>
  </si>
  <si>
    <t>Earnings per common share––Diluted:</t>
  </si>
  <si>
    <t>Deferred revenues</t>
  </si>
  <si>
    <t>Other current liabilities</t>
  </si>
  <si>
    <t>Total current liabilities</t>
  </si>
  <si>
    <t>Long-term debt</t>
  </si>
  <si>
    <t>Weighted-average shares––basic</t>
  </si>
  <si>
    <t>Pension and postretirement benefit obligations</t>
  </si>
  <si>
    <t>Weighted-average shares––diluted</t>
  </si>
  <si>
    <t>Noncurrent deferred tax liabilities</t>
  </si>
  <si>
    <t>Other taxes payable</t>
  </si>
  <si>
    <t>Other noncurrent liabilities</t>
  </si>
  <si>
    <t>Total Liabilities</t>
  </si>
  <si>
    <t>Commitments and Contingencies</t>
  </si>
  <si>
    <t>Preferred stock, no par value, at stated value; 27 shares authorized; no shares issued or outstanding at
December 31, 2022 and December 31, 2021</t>
  </si>
  <si>
    <t>Common stock, $0.05 par value; 12,000 shares authorized; issued: 2022—9,519; 2021—9,471</t>
  </si>
  <si>
    <t>Additional paid-in capital</t>
  </si>
  <si>
    <t>Treasury stock, shares at cost: 2022—3,903; 2021—3,851</t>
  </si>
  <si>
    <t>Retained earnings</t>
  </si>
  <si>
    <t>Accumulated other comprehensive loss</t>
  </si>
  <si>
    <t>Total Pfizer Inc. shareholders’ equity</t>
  </si>
  <si>
    <t>Equity attributable to noncontrolling interests</t>
  </si>
  <si>
    <t>Total Equity</t>
  </si>
  <si>
    <t>Total Liabilities and Equity</t>
  </si>
  <si>
    <t>Cash Flow Statement- Pfizer Inc.</t>
  </si>
  <si>
    <t>(In Millions)</t>
  </si>
  <si>
    <t>Operating Activities</t>
  </si>
  <si>
    <t> </t>
  </si>
  <si>
    <t>Adjustments to reconcile net income before allocation to noncontrolling interests to net cash provided by operating activities:</t>
  </si>
  <si>
    <t>Depreciation and amortization</t>
  </si>
  <si>
    <t>Deferred taxes from continuing operations</t>
  </si>
  <si>
    <t>Other Funds</t>
  </si>
  <si>
    <t>Other changes in assets and liabilities, net of acquisitions and divestitures:</t>
  </si>
  <si>
    <t>Trade accounts receivable</t>
  </si>
  <si>
    <t>Other Assets/Liabilities</t>
  </si>
  <si>
    <t>Net cash provided by operating activities</t>
  </si>
  <si>
    <t>Investing Activities</t>
  </si>
  <si>
    <t>Purchases of property, plant and equipment</t>
  </si>
  <si>
    <t>Purchases of short-term investments</t>
  </si>
  <si>
    <t>Proceeds from redemptions/sales of short-term investments</t>
  </si>
  <si>
    <t>Net (purchases of)/proceeds from redemptions/sales of short-term investments with original maturities of three months or less</t>
  </si>
  <si>
    <t>Purchases of long-term investments</t>
  </si>
  <si>
    <t>Proceeds from redemptions/sales of long-term investments</t>
  </si>
  <si>
    <t>Acquisitions of businesses, net of cash acquired</t>
  </si>
  <si>
    <t>Dividend received from the Consumer Healthcare JV</t>
  </si>
  <si>
    <t>Other investing activities, net</t>
  </si>
  <si>
    <t>Net cash provided by/(used in) investing activities</t>
  </si>
  <si>
    <t>Financing Activities</t>
  </si>
  <si>
    <t>Proceeds from short-term borrowings</t>
  </si>
  <si>
    <t>Payments on short-term borrowings</t>
  </si>
  <si>
    <t>Net (payments on)/proceeds from short-term borrowings with original maturities of three months or less</t>
  </si>
  <si>
    <t>Proceeds from issuances of long-term debt</t>
  </si>
  <si>
    <t>Payments on long-term debt</t>
  </si>
  <si>
    <t>Purchases of common stock</t>
  </si>
  <si>
    <t>Cash dividends paid</t>
  </si>
  <si>
    <t>Other financing activities, net</t>
  </si>
  <si>
    <t>Net cash provided by/(used in) financing activities from continuing operations</t>
  </si>
  <si>
    <t>Net cash provided by/(used in) financing activities from discontinued operations</t>
  </si>
  <si>
    <t>Net cash provided by/(used in) financing activities</t>
  </si>
  <si>
    <t>Common Size Balance Sheets- Pfizer Inc.</t>
  </si>
  <si>
    <t>Input Data            (In Millions)</t>
  </si>
  <si>
    <t>Current Assets</t>
  </si>
  <si>
    <t>Total Debt</t>
  </si>
  <si>
    <t>Total Shareholders Equity</t>
  </si>
  <si>
    <t>COGS</t>
  </si>
  <si>
    <t>Total Shares Outstanding</t>
  </si>
  <si>
    <t>Revenue</t>
  </si>
  <si>
    <t>Gross Profit</t>
  </si>
  <si>
    <t>Net Income</t>
  </si>
  <si>
    <t>Long-Term Assets</t>
  </si>
  <si>
    <t>Financial Ratios</t>
  </si>
  <si>
    <t>Formula</t>
  </si>
  <si>
    <t>Current Ratio</t>
  </si>
  <si>
    <t>Current Assets/Current Liabilities</t>
  </si>
  <si>
    <t>Quick Ratio</t>
  </si>
  <si>
    <t>(Current assets - Inventory) / Current Liabilities</t>
  </si>
  <si>
    <t>Debt to Asset Ratio</t>
  </si>
  <si>
    <t>Total Debt / Total assets</t>
  </si>
  <si>
    <t xml:space="preserve">Debt to Equity Ratio </t>
  </si>
  <si>
    <t>Total Debt / Total Shareholders' Equity</t>
  </si>
  <si>
    <t>Asset Turnover Ratio</t>
  </si>
  <si>
    <t>Revenue / Total Assets</t>
  </si>
  <si>
    <t>Inventory Turnover Ratio</t>
  </si>
  <si>
    <t>COGS/ Inventory</t>
  </si>
  <si>
    <t>Total Long-Term Assets</t>
  </si>
  <si>
    <t>Return on Assets Ratio</t>
  </si>
  <si>
    <t>Net Income / Total Assets</t>
  </si>
  <si>
    <t>Return on Equity Ratio</t>
  </si>
  <si>
    <t>Net Income / Shareholders' Equity</t>
  </si>
  <si>
    <t>EPS Ratio</t>
  </si>
  <si>
    <t>Net Income / Total Shares Outstanding</t>
  </si>
  <si>
    <t xml:space="preserve"> </t>
  </si>
  <si>
    <t>Gross Margin Ratio</t>
  </si>
  <si>
    <t>Gross Profit / Revenue</t>
  </si>
  <si>
    <t>Current Liabilities</t>
  </si>
  <si>
    <t>Long-term Liabilities</t>
  </si>
  <si>
    <t>Total noncurrent liabilities</t>
  </si>
  <si>
    <t>Simplified Income Statement- Pfizer Inc.</t>
  </si>
  <si>
    <t>% Change</t>
  </si>
  <si>
    <t>Cost of Goods Sold</t>
  </si>
  <si>
    <t>Operating Expenses</t>
  </si>
  <si>
    <t>Other Operating Expenses</t>
  </si>
  <si>
    <t>Total Operating Expenses</t>
  </si>
  <si>
    <t>Less: Income Taxes</t>
  </si>
  <si>
    <t>Income from Continuing Operations (EAT)</t>
  </si>
  <si>
    <t>DOL(Degree of Operating Leverage) =%Change in EBIT/%Change in Sales Revenue</t>
  </si>
  <si>
    <t>Changes in 2021</t>
  </si>
  <si>
    <t>% Change in 2021-2022</t>
  </si>
  <si>
    <t>EBIT (Operating Profit)</t>
  </si>
  <si>
    <t>Sales Revenue</t>
  </si>
  <si>
    <t xml:space="preserve">DOL </t>
  </si>
  <si>
    <t>DFL=EBIT/EBT</t>
  </si>
  <si>
    <t xml:space="preserve">EBIT  </t>
  </si>
  <si>
    <t>EBT</t>
  </si>
  <si>
    <t xml:space="preserve">DFL </t>
  </si>
  <si>
    <t>DCL=DOL*DFL</t>
  </si>
  <si>
    <t xml:space="preserve">DCL </t>
  </si>
  <si>
    <t>Cash Conversion Cycle- Pfizer Inc.</t>
  </si>
  <si>
    <t xml:space="preserve">As of December 31, </t>
  </si>
  <si>
    <t>Input Data</t>
  </si>
  <si>
    <t>Inventory</t>
  </si>
  <si>
    <t>Accounts Receivable</t>
  </si>
  <si>
    <t>Accounts Payable</t>
  </si>
  <si>
    <t>Average Inventory</t>
  </si>
  <si>
    <t>Average A/R</t>
  </si>
  <si>
    <t>Average A/P</t>
  </si>
  <si>
    <t>Days Inventory Outstanding (DIO)</t>
  </si>
  <si>
    <t>Days Sales Outstanding (DSO)</t>
  </si>
  <si>
    <t>Days Payable Outstanding (DPO)</t>
  </si>
  <si>
    <t>Cash Conversion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</si>
</sst>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164" formatCode="_-&quot;$&quot;* #,##0.00_-;\-&quot;$&quot;* #,##0.00_-;_-&quot;$&quot;* &quot;-&quot;??_-;_-@_-"/>
    <numFmt numFmtId="165" formatCode="_-&quot;$&quot;* #,##0_-;\-&quot;$&quot;* #,##0_-;_-&quot;$&quot;* &quot;-&quot;??_-;_-@_-"/>
    <numFmt numFmtId="166" formatCode="#,##0_1\);\(#,##0\)"/>
    <numFmt numFmtId="167" formatCode="#,##0.00_1\);\(#,##0.00\)"/>
    <numFmt numFmtId="168" formatCode="_(&quot;$&quot;* #,##0_);_(&quot;$&quot;* \(#,##0\);_(&quot;$&quot;* &quot;-&quot;??_);_(@_)"/>
    <numFmt numFmtId="169" formatCode="_([$$-409]* #,##0_);_([$$-409]* \(#,##0\);_([$$-409]* &quot;-&quot;??_);_(@_)"/>
  </numFmts>
  <fonts count="18">
    <font>
      <sz val="11"/>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b/>
      <u/>
      <sz val="12"/>
      <color theme="1"/>
      <name val="Aptos Narrow"/>
      <family val="2"/>
      <scheme val="minor"/>
    </font>
    <font>
      <b/>
      <sz val="14"/>
      <color theme="0"/>
      <name val="Aptos Display"/>
      <family val="2"/>
      <scheme val="major"/>
    </font>
    <font>
      <u/>
      <sz val="12"/>
      <color theme="1"/>
      <name val="Aptos Narrow"/>
      <family val="2"/>
      <scheme val="minor"/>
    </font>
    <font>
      <b/>
      <sz val="12"/>
      <color theme="0"/>
      <name val="Aptos Narrow"/>
      <family val="2"/>
      <scheme val="minor"/>
    </font>
    <font>
      <sz val="9"/>
      <color indexed="81"/>
      <name val="Tahoma"/>
      <family val="2"/>
    </font>
    <font>
      <b/>
      <sz val="9"/>
      <color indexed="81"/>
      <name val="Tahoma"/>
      <family val="2"/>
    </font>
    <font>
      <b/>
      <sz val="14"/>
      <color rgb="FFFFFFFF"/>
      <name val="Aptos Display"/>
      <family val="2"/>
    </font>
    <font>
      <sz val="12"/>
      <color rgb="FF000000"/>
      <name val="Aptos Narrow"/>
      <family val="2"/>
    </font>
    <font>
      <sz val="11"/>
      <color rgb="FF000000"/>
      <name val="Aptos Narrow"/>
      <family val="2"/>
    </font>
    <font>
      <b/>
      <u/>
      <sz val="12"/>
      <color rgb="FF000000"/>
      <name val="Aptos Narrow"/>
      <family val="2"/>
    </font>
    <font>
      <b/>
      <sz val="12"/>
      <color rgb="FF000000"/>
      <name val="Aptos Narrow"/>
      <family val="2"/>
    </font>
    <font>
      <b/>
      <sz val="14"/>
      <color rgb="FFFFFFFF"/>
      <name val="Aptos Narrow"/>
      <family val="2"/>
    </font>
    <font>
      <u/>
      <sz val="12"/>
      <color rgb="FF000000"/>
      <name val="Aptos Narrow"/>
      <family val="2"/>
    </font>
    <font>
      <b/>
      <sz val="12"/>
      <color rgb="FFFFFFFF"/>
      <name val="Aptos Narrow"/>
      <family val="2"/>
    </font>
  </fonts>
  <fills count="10">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000000"/>
        <bgColor rgb="FF000000"/>
      </patternFill>
    </fill>
    <fill>
      <patternFill patternType="solid">
        <fgColor rgb="FF83CCEB"/>
        <bgColor rgb="FF000000"/>
      </patternFill>
    </fill>
    <fill>
      <patternFill patternType="solid">
        <fgColor rgb="FFFF0000"/>
        <bgColor rgb="FF000000"/>
      </patternFill>
    </fill>
    <fill>
      <patternFill patternType="solid">
        <fgColor theme="0"/>
        <bgColor indexed="64"/>
      </patternFill>
    </fill>
  </fills>
  <borders count="32">
    <border>
      <left/>
      <right/>
      <top/>
      <bottom/>
      <diagonal/>
    </border>
    <border>
      <left/>
      <right/>
      <top/>
      <bottom style="medium">
        <color indexed="64"/>
      </bottom>
      <diagonal/>
    </border>
    <border>
      <left/>
      <right/>
      <top/>
      <bottom style="double">
        <color indexed="64"/>
      </bottom>
      <diagonal/>
    </border>
    <border>
      <left/>
      <right/>
      <top style="medium">
        <color indexed="64"/>
      </top>
      <bottom style="double">
        <color indexed="64"/>
      </bottom>
      <diagonal/>
    </border>
    <border>
      <left/>
      <right/>
      <top style="medium">
        <color indexed="64"/>
      </top>
      <bottom style="medium">
        <color indexed="64"/>
      </bottom>
      <diagonal/>
    </border>
    <border>
      <left/>
      <right style="thin">
        <color indexed="64"/>
      </right>
      <top/>
      <bottom/>
      <diagonal/>
    </border>
    <border>
      <left/>
      <right style="thin">
        <color indexed="64"/>
      </right>
      <top/>
      <bottom style="double">
        <color indexed="64"/>
      </bottom>
      <diagonal/>
    </border>
    <border>
      <left/>
      <right style="thin">
        <color indexed="64"/>
      </right>
      <top/>
      <bottom style="medium">
        <color indexed="64"/>
      </bottom>
      <diagonal/>
    </border>
    <border>
      <left/>
      <right style="thin">
        <color indexed="64"/>
      </right>
      <top style="medium">
        <color indexed="64"/>
      </top>
      <bottom style="double">
        <color indexed="64"/>
      </bottom>
      <diagonal/>
    </border>
    <border>
      <left/>
      <right style="thin">
        <color indexed="64"/>
      </right>
      <top style="medium">
        <color indexed="64"/>
      </top>
      <bottom style="medium">
        <color indexed="64"/>
      </bottom>
      <diagonal/>
    </border>
    <border>
      <left style="thin">
        <color indexed="64"/>
      </left>
      <right/>
      <top/>
      <bottom/>
      <diagonal/>
    </border>
    <border>
      <left style="thin">
        <color indexed="64"/>
      </left>
      <right/>
      <top/>
      <bottom style="double">
        <color indexed="64"/>
      </bottom>
      <diagonal/>
    </border>
    <border>
      <left/>
      <right style="thin">
        <color theme="1"/>
      </right>
      <top/>
      <bottom/>
      <diagonal/>
    </border>
    <border>
      <left/>
      <right style="thin">
        <color theme="1"/>
      </right>
      <top style="double">
        <color indexed="64"/>
      </top>
      <bottom/>
      <diagonal/>
    </border>
    <border>
      <left style="thin">
        <color theme="1"/>
      </left>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thin">
        <color rgb="FF000000"/>
      </right>
      <top/>
      <bottom style="double">
        <color indexed="64"/>
      </bottom>
      <diagonal/>
    </border>
  </borders>
  <cellStyleXfs count="2">
    <xf numFmtId="0" fontId="0" fillId="0" borderId="0"/>
    <xf numFmtId="164" fontId="1" fillId="0" borderId="0" applyFont="0" applyFill="0" applyBorder="0" applyAlignment="0" applyProtection="0"/>
  </cellStyleXfs>
  <cellXfs count="197">
    <xf numFmtId="0" fontId="0" fillId="0" borderId="0" xfId="0"/>
    <xf numFmtId="0" fontId="2" fillId="0" borderId="0" xfId="0" applyFont="1"/>
    <xf numFmtId="0" fontId="2" fillId="0" borderId="0" xfId="0" applyFont="1" applyAlignment="1">
      <alignment wrapText="1"/>
    </xf>
    <xf numFmtId="0" fontId="4" fillId="0" borderId="0" xfId="0" applyFont="1"/>
    <xf numFmtId="0" fontId="2" fillId="0" borderId="0" xfId="0" applyFont="1" applyAlignment="1">
      <alignment horizontal="left" indent="2"/>
    </xf>
    <xf numFmtId="164" fontId="2" fillId="0" borderId="0" xfId="1" applyFont="1" applyAlignment="1">
      <alignment horizontal="right"/>
    </xf>
    <xf numFmtId="165" fontId="2" fillId="0" borderId="0" xfId="1" applyNumberFormat="1" applyFont="1" applyAlignment="1">
      <alignment horizontal="right"/>
    </xf>
    <xf numFmtId="165" fontId="2" fillId="0" borderId="3" xfId="1" applyNumberFormat="1" applyFont="1" applyBorder="1" applyAlignment="1">
      <alignment horizontal="right"/>
    </xf>
    <xf numFmtId="3" fontId="2" fillId="0" borderId="0" xfId="0" applyNumberFormat="1" applyFont="1" applyAlignment="1">
      <alignment horizontal="right"/>
    </xf>
    <xf numFmtId="3" fontId="2" fillId="0" borderId="1" xfId="0" applyNumberFormat="1" applyFont="1" applyBorder="1" applyAlignment="1">
      <alignment horizontal="right"/>
    </xf>
    <xf numFmtId="3" fontId="2" fillId="0" borderId="2" xfId="0" applyNumberFormat="1" applyFont="1" applyBorder="1" applyAlignment="1">
      <alignment horizontal="right"/>
    </xf>
    <xf numFmtId="4" fontId="3" fillId="3" borderId="1" xfId="0" applyNumberFormat="1" applyFont="1" applyFill="1" applyBorder="1" applyAlignment="1">
      <alignment horizontal="right"/>
    </xf>
    <xf numFmtId="3" fontId="3" fillId="3" borderId="0" xfId="1" applyNumberFormat="1" applyFont="1" applyFill="1" applyAlignment="1">
      <alignment horizontal="right"/>
    </xf>
    <xf numFmtId="3" fontId="3" fillId="3" borderId="0" xfId="0" applyNumberFormat="1" applyFont="1" applyFill="1" applyAlignment="1">
      <alignment horizontal="right"/>
    </xf>
    <xf numFmtId="3" fontId="3" fillId="3" borderId="1" xfId="0" applyNumberFormat="1" applyFont="1" applyFill="1" applyBorder="1" applyAlignment="1">
      <alignment horizontal="right"/>
    </xf>
    <xf numFmtId="3" fontId="3" fillId="3" borderId="2" xfId="0" applyNumberFormat="1" applyFont="1" applyFill="1" applyBorder="1" applyAlignment="1">
      <alignment horizontal="right"/>
    </xf>
    <xf numFmtId="164" fontId="3" fillId="3" borderId="0" xfId="1" applyFont="1" applyFill="1" applyAlignment="1">
      <alignment horizontal="right"/>
    </xf>
    <xf numFmtId="165" fontId="3" fillId="3" borderId="0" xfId="1" applyNumberFormat="1" applyFont="1" applyFill="1" applyAlignment="1">
      <alignment horizontal="right"/>
    </xf>
    <xf numFmtId="165" fontId="3" fillId="3" borderId="3" xfId="1" applyNumberFormat="1" applyFont="1" applyFill="1" applyBorder="1" applyAlignment="1">
      <alignment horizontal="right"/>
    </xf>
    <xf numFmtId="164" fontId="3" fillId="3" borderId="2" xfId="1" applyFont="1" applyFill="1" applyBorder="1" applyAlignment="1">
      <alignment horizontal="right"/>
    </xf>
    <xf numFmtId="164" fontId="2" fillId="0" borderId="2" xfId="1" applyFont="1" applyBorder="1" applyAlignment="1">
      <alignment horizontal="right"/>
    </xf>
    <xf numFmtId="164" fontId="2" fillId="0" borderId="0" xfId="0" applyNumberFormat="1" applyFont="1" applyAlignment="1">
      <alignment horizontal="right"/>
    </xf>
    <xf numFmtId="164" fontId="3" fillId="3" borderId="3" xfId="0" applyNumberFormat="1" applyFont="1" applyFill="1" applyBorder="1" applyAlignment="1">
      <alignment horizontal="right"/>
    </xf>
    <xf numFmtId="164" fontId="2" fillId="0" borderId="3" xfId="0" applyNumberFormat="1" applyFont="1" applyBorder="1" applyAlignment="1">
      <alignment horizontal="right"/>
    </xf>
    <xf numFmtId="166" fontId="2" fillId="0" borderId="1" xfId="0" applyNumberFormat="1" applyFont="1" applyBorder="1" applyAlignment="1">
      <alignment horizontal="right"/>
    </xf>
    <xf numFmtId="167" fontId="2" fillId="0" borderId="1" xfId="0" applyNumberFormat="1" applyFont="1" applyBorder="1" applyAlignment="1">
      <alignment horizontal="right"/>
    </xf>
    <xf numFmtId="0" fontId="2" fillId="0" borderId="5" xfId="0" applyFont="1" applyBorder="1"/>
    <xf numFmtId="165" fontId="2" fillId="0" borderId="5" xfId="1" applyNumberFormat="1" applyFont="1" applyBorder="1"/>
    <xf numFmtId="3" fontId="2" fillId="0" borderId="5" xfId="0" applyNumberFormat="1" applyFont="1" applyBorder="1"/>
    <xf numFmtId="3" fontId="2" fillId="0" borderId="7" xfId="0" applyNumberFormat="1" applyFont="1" applyBorder="1"/>
    <xf numFmtId="165" fontId="2" fillId="0" borderId="8" xfId="1" applyNumberFormat="1" applyFont="1" applyBorder="1"/>
    <xf numFmtId="166" fontId="2" fillId="0" borderId="5" xfId="0" applyNumberFormat="1" applyFont="1" applyBorder="1"/>
    <xf numFmtId="166" fontId="2" fillId="0" borderId="7" xfId="0" applyNumberFormat="1" applyFont="1" applyBorder="1"/>
    <xf numFmtId="0" fontId="2" fillId="0" borderId="7" xfId="0" applyFont="1" applyBorder="1"/>
    <xf numFmtId="3" fontId="2" fillId="0" borderId="9" xfId="0" applyNumberFormat="1" applyFont="1" applyBorder="1"/>
    <xf numFmtId="0" fontId="3" fillId="3" borderId="0" xfId="0" applyFont="1" applyFill="1" applyAlignment="1">
      <alignment horizontal="right"/>
    </xf>
    <xf numFmtId="0" fontId="3" fillId="3" borderId="1" xfId="0" applyFont="1" applyFill="1" applyBorder="1" applyAlignment="1">
      <alignment horizontal="right"/>
    </xf>
    <xf numFmtId="0" fontId="2" fillId="0" borderId="10" xfId="0" applyFont="1" applyBorder="1"/>
    <xf numFmtId="0" fontId="2" fillId="0" borderId="10" xfId="0" applyFont="1" applyBorder="1" applyAlignment="1">
      <alignment horizontal="left" indent="2"/>
    </xf>
    <xf numFmtId="0" fontId="4" fillId="0" borderId="10" xfId="0" applyFont="1" applyBorder="1"/>
    <xf numFmtId="165" fontId="2" fillId="0" borderId="5" xfId="1" applyNumberFormat="1" applyFont="1" applyBorder="1" applyAlignment="1">
      <alignment horizontal="right"/>
    </xf>
    <xf numFmtId="3" fontId="2" fillId="0" borderId="5" xfId="0" applyNumberFormat="1" applyFont="1" applyBorder="1" applyAlignment="1">
      <alignment horizontal="right"/>
    </xf>
    <xf numFmtId="3" fontId="2" fillId="0" borderId="7" xfId="0" applyNumberFormat="1" applyFont="1" applyBorder="1" applyAlignment="1">
      <alignment horizontal="right"/>
    </xf>
    <xf numFmtId="165" fontId="2" fillId="0" borderId="8" xfId="1" applyNumberFormat="1" applyFont="1" applyBorder="1" applyAlignment="1">
      <alignment horizontal="right"/>
    </xf>
    <xf numFmtId="164" fontId="2" fillId="0" borderId="5" xfId="1" applyFont="1" applyBorder="1" applyAlignment="1">
      <alignment horizontal="right"/>
    </xf>
    <xf numFmtId="4" fontId="2" fillId="0" borderId="7" xfId="0" applyNumberFormat="1" applyFont="1" applyBorder="1" applyAlignment="1">
      <alignment horizontal="right"/>
    </xf>
    <xf numFmtId="164" fontId="2" fillId="0" borderId="6" xfId="1" applyFont="1" applyBorder="1" applyAlignment="1">
      <alignment horizontal="right"/>
    </xf>
    <xf numFmtId="164" fontId="2" fillId="0" borderId="5" xfId="0" applyNumberFormat="1" applyFont="1" applyBorder="1" applyAlignment="1">
      <alignment horizontal="right"/>
    </xf>
    <xf numFmtId="164" fontId="2" fillId="0" borderId="8" xfId="0" applyNumberFormat="1" applyFont="1" applyBorder="1" applyAlignment="1">
      <alignment horizontal="right"/>
    </xf>
    <xf numFmtId="3" fontId="2" fillId="0" borderId="6" xfId="0" applyNumberFormat="1" applyFont="1" applyBorder="1" applyAlignment="1">
      <alignment horizontal="right"/>
    </xf>
    <xf numFmtId="165" fontId="3" fillId="3" borderId="0" xfId="1" applyNumberFormat="1" applyFont="1" applyFill="1"/>
    <xf numFmtId="3" fontId="3" fillId="3" borderId="0" xfId="0" applyNumberFormat="1" applyFont="1" applyFill="1"/>
    <xf numFmtId="3" fontId="3" fillId="3" borderId="1" xfId="0" applyNumberFormat="1" applyFont="1" applyFill="1" applyBorder="1"/>
    <xf numFmtId="165" fontId="3" fillId="3" borderId="3" xfId="1" applyNumberFormat="1" applyFont="1" applyFill="1" applyBorder="1"/>
    <xf numFmtId="0" fontId="3" fillId="3" borderId="0" xfId="0" applyFont="1" applyFill="1"/>
    <xf numFmtId="166" fontId="3" fillId="3" borderId="0" xfId="0" applyNumberFormat="1" applyFont="1" applyFill="1"/>
    <xf numFmtId="166" fontId="3" fillId="3" borderId="1" xfId="0" applyNumberFormat="1" applyFont="1" applyFill="1" applyBorder="1"/>
    <xf numFmtId="0" fontId="3" fillId="3" borderId="1" xfId="0" applyFont="1" applyFill="1" applyBorder="1"/>
    <xf numFmtId="3" fontId="3" fillId="3" borderId="4" xfId="0" applyNumberFormat="1" applyFont="1" applyFill="1" applyBorder="1"/>
    <xf numFmtId="0" fontId="2" fillId="0" borderId="11" xfId="0" applyFont="1" applyBorder="1"/>
    <xf numFmtId="3" fontId="0" fillId="0" borderId="0" xfId="0" applyNumberFormat="1"/>
    <xf numFmtId="3" fontId="2" fillId="0" borderId="0" xfId="0" applyNumberFormat="1" applyFont="1"/>
    <xf numFmtId="0" fontId="4" fillId="0" borderId="0" xfId="0" applyFont="1" applyAlignment="1">
      <alignment wrapText="1"/>
    </xf>
    <xf numFmtId="0" fontId="6" fillId="0" borderId="0" xfId="0" applyFont="1"/>
    <xf numFmtId="0" fontId="2" fillId="0" borderId="0" xfId="0" applyFont="1" applyAlignment="1">
      <alignment horizontal="left" wrapText="1" indent="2"/>
    </xf>
    <xf numFmtId="165" fontId="2" fillId="0" borderId="0" xfId="1" applyNumberFormat="1" applyFont="1"/>
    <xf numFmtId="0" fontId="3" fillId="0" borderId="0" xfId="0" applyFont="1" applyAlignment="1">
      <alignment wrapText="1"/>
    </xf>
    <xf numFmtId="0" fontId="3" fillId="0" borderId="0" xfId="0" applyFont="1"/>
    <xf numFmtId="0" fontId="2" fillId="0" borderId="12" xfId="0" applyFont="1" applyBorder="1"/>
    <xf numFmtId="165" fontId="2" fillId="0" borderId="12" xfId="1" applyNumberFormat="1" applyFont="1" applyBorder="1" applyAlignment="1">
      <alignment horizontal="right"/>
    </xf>
    <xf numFmtId="165" fontId="2" fillId="0" borderId="0" xfId="0" applyNumberFormat="1" applyFont="1"/>
    <xf numFmtId="165" fontId="2" fillId="0" borderId="0" xfId="1" applyNumberFormat="1" applyFont="1" applyAlignment="1"/>
    <xf numFmtId="1" fontId="2" fillId="0" borderId="0" xfId="0" applyNumberFormat="1" applyFont="1"/>
    <xf numFmtId="165" fontId="2" fillId="0" borderId="12" xfId="1" applyNumberFormat="1" applyFont="1" applyBorder="1"/>
    <xf numFmtId="0" fontId="2" fillId="0" borderId="0" xfId="0" applyFont="1" applyAlignment="1">
      <alignment horizontal="left" wrapText="1"/>
    </xf>
    <xf numFmtId="0" fontId="3" fillId="0" borderId="0" xfId="0" applyFont="1" applyAlignment="1">
      <alignment horizontal="left" wrapText="1"/>
    </xf>
    <xf numFmtId="165" fontId="2" fillId="0" borderId="0" xfId="1" applyNumberFormat="1" applyFont="1" applyFill="1"/>
    <xf numFmtId="3" fontId="2" fillId="0" borderId="1" xfId="0" applyNumberFormat="1" applyFont="1" applyBorder="1"/>
    <xf numFmtId="165" fontId="2" fillId="0" borderId="3" xfId="1" applyNumberFormat="1" applyFont="1" applyFill="1" applyBorder="1"/>
    <xf numFmtId="166" fontId="2" fillId="0" borderId="0" xfId="0" applyNumberFormat="1" applyFont="1"/>
    <xf numFmtId="166" fontId="2" fillId="0" borderId="1" xfId="0" applyNumberFormat="1" applyFont="1" applyBorder="1"/>
    <xf numFmtId="0" fontId="2" fillId="0" borderId="1" xfId="0" applyFont="1" applyBorder="1"/>
    <xf numFmtId="3" fontId="2" fillId="0" borderId="4" xfId="0" applyNumberFormat="1" applyFont="1" applyBorder="1"/>
    <xf numFmtId="0" fontId="2" fillId="0" borderId="2" xfId="0" applyFont="1" applyBorder="1" applyAlignment="1">
      <alignment horizontal="left"/>
    </xf>
    <xf numFmtId="0" fontId="3" fillId="0" borderId="2" xfId="0" applyFont="1" applyBorder="1" applyAlignment="1">
      <alignment horizontal="left"/>
    </xf>
    <xf numFmtId="0" fontId="2" fillId="0" borderId="13" xfId="0" applyFont="1" applyBorder="1"/>
    <xf numFmtId="0" fontId="7" fillId="2" borderId="0" xfId="0" applyFont="1" applyFill="1" applyAlignment="1">
      <alignment wrapText="1"/>
    </xf>
    <xf numFmtId="0" fontId="7" fillId="2" borderId="0" xfId="0" applyFont="1" applyFill="1"/>
    <xf numFmtId="0" fontId="2" fillId="0" borderId="14" xfId="0" applyFont="1" applyBorder="1" applyAlignment="1">
      <alignment horizontal="left"/>
    </xf>
    <xf numFmtId="0" fontId="2" fillId="0" borderId="14" xfId="0" applyFont="1" applyBorder="1" applyAlignment="1">
      <alignment horizontal="left" wrapText="1"/>
    </xf>
    <xf numFmtId="0" fontId="2" fillId="0" borderId="15" xfId="0" applyFont="1" applyBorder="1" applyAlignment="1">
      <alignment horizontal="left"/>
    </xf>
    <xf numFmtId="165" fontId="2" fillId="0" borderId="16" xfId="1" applyNumberFormat="1" applyFont="1" applyBorder="1"/>
    <xf numFmtId="165" fontId="2" fillId="0" borderId="17" xfId="1" applyNumberFormat="1" applyFont="1" applyBorder="1"/>
    <xf numFmtId="2" fontId="2" fillId="0" borderId="0" xfId="0" applyNumberFormat="1" applyFont="1"/>
    <xf numFmtId="2" fontId="2" fillId="0" borderId="0" xfId="0" applyNumberFormat="1" applyFont="1" applyAlignment="1">
      <alignment wrapText="1"/>
    </xf>
    <xf numFmtId="0" fontId="2" fillId="0" borderId="14" xfId="0" applyFont="1" applyBorder="1"/>
    <xf numFmtId="2" fontId="2" fillId="0" borderId="12" xfId="0" applyNumberFormat="1" applyFont="1" applyBorder="1"/>
    <xf numFmtId="2" fontId="2" fillId="0" borderId="12" xfId="0" applyNumberFormat="1" applyFont="1" applyBorder="1" applyAlignment="1">
      <alignment wrapText="1"/>
    </xf>
    <xf numFmtId="0" fontId="2" fillId="0" borderId="15" xfId="0" applyFont="1" applyBorder="1"/>
    <xf numFmtId="0" fontId="2" fillId="0" borderId="16" xfId="0" applyFont="1" applyBorder="1"/>
    <xf numFmtId="2" fontId="2" fillId="0" borderId="16" xfId="0" applyNumberFormat="1" applyFont="1" applyBorder="1"/>
    <xf numFmtId="2" fontId="2" fillId="0" borderId="17" xfId="0" applyNumberFormat="1" applyFont="1" applyBorder="1"/>
    <xf numFmtId="0" fontId="6" fillId="0" borderId="12" xfId="0" applyFont="1" applyBorder="1"/>
    <xf numFmtId="165" fontId="2" fillId="0" borderId="0" xfId="1" applyNumberFormat="1" applyFont="1" applyAlignment="1">
      <alignment horizontal="left"/>
    </xf>
    <xf numFmtId="0" fontId="0" fillId="4" borderId="19" xfId="0" applyFill="1" applyBorder="1"/>
    <xf numFmtId="6" fontId="0" fillId="0" borderId="0" xfId="0" applyNumberFormat="1"/>
    <xf numFmtId="0" fontId="11" fillId="0" borderId="0" xfId="0" applyFont="1"/>
    <xf numFmtId="0" fontId="11" fillId="0" borderId="0" xfId="0" applyFont="1" applyAlignment="1">
      <alignment wrapText="1"/>
    </xf>
    <xf numFmtId="0" fontId="13" fillId="0" borderId="0" xfId="0" applyFont="1" applyAlignment="1">
      <alignment wrapText="1"/>
    </xf>
    <xf numFmtId="3" fontId="11" fillId="0" borderId="0" xfId="0" applyNumberFormat="1" applyFont="1"/>
    <xf numFmtId="0" fontId="11" fillId="0" borderId="2" xfId="0" applyFont="1" applyBorder="1" applyAlignment="1">
      <alignment wrapText="1"/>
    </xf>
    <xf numFmtId="0" fontId="12" fillId="0" borderId="0" xfId="0" applyFont="1" applyAlignment="1">
      <alignment wrapText="1"/>
    </xf>
    <xf numFmtId="0" fontId="11" fillId="0" borderId="22" xfId="0" applyFont="1" applyBorder="1" applyAlignment="1">
      <alignment wrapText="1"/>
    </xf>
    <xf numFmtId="0" fontId="11" fillId="0" borderId="0" xfId="0" applyFont="1" applyAlignment="1">
      <alignment horizontal="left" wrapText="1" indent="2"/>
    </xf>
    <xf numFmtId="0" fontId="0" fillId="0" borderId="0" xfId="0" applyAlignment="1">
      <alignment horizontal="left" indent="2"/>
    </xf>
    <xf numFmtId="0" fontId="11" fillId="8" borderId="0" xfId="0" applyFont="1" applyFill="1" applyAlignment="1">
      <alignment horizontal="left" wrapText="1" indent="2"/>
    </xf>
    <xf numFmtId="0" fontId="14" fillId="7" borderId="0" xfId="0" applyFont="1" applyFill="1" applyAlignment="1">
      <alignment horizontal="right" wrapText="1"/>
    </xf>
    <xf numFmtId="0" fontId="11" fillId="0" borderId="0" xfId="0" applyFont="1" applyAlignment="1">
      <alignment horizontal="right" wrapText="1"/>
    </xf>
    <xf numFmtId="0" fontId="11" fillId="0" borderId="22" xfId="0" applyFont="1" applyBorder="1" applyAlignment="1">
      <alignment horizontal="right" wrapText="1"/>
    </xf>
    <xf numFmtId="37" fontId="14" fillId="7" borderId="0" xfId="0" applyNumberFormat="1" applyFont="1" applyFill="1" applyAlignment="1">
      <alignment horizontal="right" wrapText="1"/>
    </xf>
    <xf numFmtId="37" fontId="11" fillId="0" borderId="0" xfId="0" applyNumberFormat="1" applyFont="1" applyAlignment="1">
      <alignment horizontal="right" wrapText="1"/>
    </xf>
    <xf numFmtId="37" fontId="11" fillId="0" borderId="22" xfId="0" applyNumberFormat="1" applyFont="1" applyBorder="1" applyAlignment="1">
      <alignment horizontal="right" wrapText="1"/>
    </xf>
    <xf numFmtId="3" fontId="14" fillId="7" borderId="0" xfId="0" applyNumberFormat="1" applyFont="1" applyFill="1" applyAlignment="1">
      <alignment horizontal="right" wrapText="1"/>
    </xf>
    <xf numFmtId="3" fontId="11" fillId="0" borderId="0" xfId="0" applyNumberFormat="1" applyFont="1" applyAlignment="1">
      <alignment horizontal="right" wrapText="1"/>
    </xf>
    <xf numFmtId="3" fontId="11" fillId="0" borderId="22" xfId="0" applyNumberFormat="1" applyFont="1" applyBorder="1" applyAlignment="1">
      <alignment horizontal="right" wrapText="1"/>
    </xf>
    <xf numFmtId="37" fontId="14" fillId="7" borderId="29" xfId="0" applyNumberFormat="1" applyFont="1" applyFill="1" applyBorder="1" applyAlignment="1">
      <alignment horizontal="right" wrapText="1"/>
    </xf>
    <xf numFmtId="37" fontId="11" fillId="0" borderId="29" xfId="0" applyNumberFormat="1" applyFont="1" applyBorder="1" applyAlignment="1">
      <alignment horizontal="right" wrapText="1"/>
    </xf>
    <xf numFmtId="37" fontId="11" fillId="0" borderId="30" xfId="0" applyNumberFormat="1" applyFont="1" applyBorder="1" applyAlignment="1">
      <alignment horizontal="right" wrapText="1"/>
    </xf>
    <xf numFmtId="168" fontId="14" fillId="7" borderId="2" xfId="0" applyNumberFormat="1" applyFont="1" applyFill="1" applyBorder="1" applyAlignment="1">
      <alignment horizontal="right" wrapText="1"/>
    </xf>
    <xf numFmtId="168" fontId="11" fillId="0" borderId="2" xfId="0" applyNumberFormat="1" applyFont="1" applyBorder="1" applyAlignment="1">
      <alignment horizontal="right" wrapText="1"/>
    </xf>
    <xf numFmtId="168" fontId="11" fillId="0" borderId="31" xfId="0" applyNumberFormat="1" applyFont="1" applyBorder="1" applyAlignment="1">
      <alignment horizontal="right" wrapText="1"/>
    </xf>
    <xf numFmtId="0" fontId="16" fillId="0" borderId="0" xfId="0" applyFont="1"/>
    <xf numFmtId="0" fontId="17" fillId="6" borderId="0" xfId="0" applyFont="1" applyFill="1"/>
    <xf numFmtId="0" fontId="14" fillId="0" borderId="0" xfId="0" applyFont="1"/>
    <xf numFmtId="9" fontId="11" fillId="0" borderId="0" xfId="0" applyNumberFormat="1" applyFont="1"/>
    <xf numFmtId="0" fontId="11" fillId="0" borderId="1" xfId="0" applyFont="1" applyBorder="1"/>
    <xf numFmtId="3" fontId="11" fillId="0" borderId="1" xfId="0" applyNumberFormat="1" applyFont="1" applyBorder="1"/>
    <xf numFmtId="168" fontId="11" fillId="0" borderId="0" xfId="0" applyNumberFormat="1" applyFont="1"/>
    <xf numFmtId="169" fontId="11" fillId="0" borderId="0" xfId="0" applyNumberFormat="1" applyFont="1"/>
    <xf numFmtId="169" fontId="11" fillId="0" borderId="2" xfId="0" applyNumberFormat="1" applyFont="1" applyBorder="1"/>
    <xf numFmtId="169" fontId="14" fillId="7" borderId="0" xfId="0" applyNumberFormat="1" applyFont="1" applyFill="1" applyAlignment="1">
      <alignment horizontal="right" wrapText="1"/>
    </xf>
    <xf numFmtId="169" fontId="11" fillId="0" borderId="0" xfId="0" applyNumberFormat="1" applyFont="1" applyAlignment="1">
      <alignment horizontal="right" wrapText="1"/>
    </xf>
    <xf numFmtId="169" fontId="11" fillId="0" borderId="22" xfId="0" applyNumberFormat="1" applyFont="1" applyBorder="1" applyAlignment="1">
      <alignment horizontal="right" wrapText="1"/>
    </xf>
    <xf numFmtId="169" fontId="14" fillId="7" borderId="27" xfId="0" applyNumberFormat="1" applyFont="1" applyFill="1" applyBorder="1" applyAlignment="1">
      <alignment horizontal="right" wrapText="1"/>
    </xf>
    <xf numFmtId="169" fontId="11" fillId="0" borderId="27" xfId="0" applyNumberFormat="1" applyFont="1" applyBorder="1" applyAlignment="1">
      <alignment horizontal="right" wrapText="1"/>
    </xf>
    <xf numFmtId="169" fontId="11" fillId="0" borderId="28" xfId="0" applyNumberFormat="1" applyFont="1" applyBorder="1" applyAlignment="1">
      <alignment horizontal="right" wrapText="1"/>
    </xf>
    <xf numFmtId="168" fontId="14" fillId="7" borderId="29" xfId="0" applyNumberFormat="1" applyFont="1" applyFill="1" applyBorder="1" applyAlignment="1">
      <alignment horizontal="right" wrapText="1"/>
    </xf>
    <xf numFmtId="168" fontId="11" fillId="0" borderId="29" xfId="0" applyNumberFormat="1" applyFont="1" applyBorder="1" applyAlignment="1">
      <alignment horizontal="right" wrapText="1"/>
    </xf>
    <xf numFmtId="168" fontId="11" fillId="0" borderId="30" xfId="0" applyNumberFormat="1" applyFont="1" applyBorder="1" applyAlignment="1">
      <alignment horizontal="right" wrapText="1"/>
    </xf>
    <xf numFmtId="168" fontId="14" fillId="7" borderId="0" xfId="0" applyNumberFormat="1" applyFont="1" applyFill="1" applyAlignment="1">
      <alignment horizontal="right" wrapText="1"/>
    </xf>
    <xf numFmtId="168" fontId="11" fillId="0" borderId="0" xfId="0" applyNumberFormat="1" applyFont="1" applyAlignment="1">
      <alignment horizontal="right" wrapText="1"/>
    </xf>
    <xf numFmtId="168" fontId="11" fillId="0" borderId="22" xfId="0" applyNumberFormat="1" applyFont="1" applyBorder="1" applyAlignment="1">
      <alignment horizontal="right" wrapText="1"/>
    </xf>
    <xf numFmtId="169" fontId="2" fillId="0" borderId="0" xfId="0" applyNumberFormat="1" applyFont="1" applyAlignment="1">
      <alignment horizontal="right"/>
    </xf>
    <xf numFmtId="0" fontId="11" fillId="0" borderId="0" xfId="0" applyFont="1" applyAlignment="1">
      <alignment horizontal="left" indent="2"/>
    </xf>
    <xf numFmtId="0" fontId="14" fillId="0" borderId="0" xfId="0" applyFont="1" applyAlignment="1">
      <alignment wrapText="1"/>
    </xf>
    <xf numFmtId="169" fontId="0" fillId="0" borderId="0" xfId="0" applyNumberFormat="1"/>
    <xf numFmtId="165" fontId="2" fillId="0" borderId="0" xfId="0" applyNumberFormat="1" applyFont="1" applyAlignment="1">
      <alignment horizontal="right"/>
    </xf>
    <xf numFmtId="0" fontId="2" fillId="4" borderId="19" xfId="0" applyFont="1" applyFill="1" applyBorder="1"/>
    <xf numFmtId="0" fontId="2" fillId="0" borderId="19" xfId="0" applyFont="1" applyBorder="1"/>
    <xf numFmtId="0" fontId="3" fillId="0" borderId="26" xfId="0" applyFont="1" applyBorder="1"/>
    <xf numFmtId="0" fontId="3" fillId="0" borderId="23" xfId="0" applyFont="1" applyBorder="1"/>
    <xf numFmtId="0" fontId="3" fillId="0" borderId="19" xfId="0" applyFont="1" applyBorder="1"/>
    <xf numFmtId="9" fontId="2" fillId="0" borderId="18" xfId="0" applyNumberFormat="1" applyFont="1" applyBorder="1"/>
    <xf numFmtId="9" fontId="2" fillId="0" borderId="19" xfId="0" applyNumberFormat="1" applyFont="1" applyBorder="1"/>
    <xf numFmtId="0" fontId="2" fillId="5" borderId="18" xfId="0" applyFont="1" applyFill="1" applyBorder="1"/>
    <xf numFmtId="0" fontId="2" fillId="0" borderId="26" xfId="0" applyFont="1" applyBorder="1"/>
    <xf numFmtId="0" fontId="2" fillId="0" borderId="24" xfId="0" applyFont="1" applyBorder="1"/>
    <xf numFmtId="10" fontId="2" fillId="5" borderId="18" xfId="0" applyNumberFormat="1" applyFont="1" applyFill="1" applyBorder="1"/>
    <xf numFmtId="0" fontId="3" fillId="0" borderId="20" xfId="0" applyFont="1" applyBorder="1"/>
    <xf numFmtId="0" fontId="2" fillId="0" borderId="23" xfId="0" applyFont="1" applyBorder="1"/>
    <xf numFmtId="10" fontId="2" fillId="0" borderId="19" xfId="0" applyNumberFormat="1" applyFont="1" applyBorder="1"/>
    <xf numFmtId="0" fontId="2" fillId="5" borderId="24" xfId="0" applyFont="1" applyFill="1" applyBorder="1"/>
    <xf numFmtId="0" fontId="3" fillId="0" borderId="19" xfId="0" applyFont="1" applyBorder="1" applyAlignment="1">
      <alignment horizontal="right"/>
    </xf>
    <xf numFmtId="0" fontId="3" fillId="0" borderId="23" xfId="0" applyFont="1" applyBorder="1" applyAlignment="1">
      <alignment horizontal="right"/>
    </xf>
    <xf numFmtId="169" fontId="2" fillId="0" borderId="21" xfId="0" applyNumberFormat="1" applyFont="1" applyBorder="1" applyAlignment="1">
      <alignment horizontal="right"/>
    </xf>
    <xf numFmtId="168" fontId="2" fillId="0" borderId="18" xfId="0" applyNumberFormat="1" applyFont="1" applyBorder="1" applyAlignment="1">
      <alignment horizontal="right"/>
    </xf>
    <xf numFmtId="168" fontId="2" fillId="0" borderId="19" xfId="0" applyNumberFormat="1" applyFont="1" applyBorder="1" applyAlignment="1">
      <alignment horizontal="right"/>
    </xf>
    <xf numFmtId="169" fontId="2" fillId="0" borderId="18" xfId="0" applyNumberFormat="1" applyFont="1" applyBorder="1" applyAlignment="1">
      <alignment horizontal="right"/>
    </xf>
    <xf numFmtId="169" fontId="2" fillId="0" borderId="20" xfId="0" applyNumberFormat="1" applyFont="1" applyBorder="1" applyAlignment="1">
      <alignment horizontal="right"/>
    </xf>
    <xf numFmtId="169" fontId="2" fillId="0" borderId="22" xfId="0" applyNumberFormat="1" applyFont="1" applyBorder="1" applyAlignment="1">
      <alignment horizontal="right"/>
    </xf>
    <xf numFmtId="10" fontId="2" fillId="0" borderId="18" xfId="0" applyNumberFormat="1" applyFont="1" applyBorder="1"/>
    <xf numFmtId="2" fontId="2" fillId="5" borderId="25" xfId="0" applyNumberFormat="1" applyFont="1" applyFill="1" applyBorder="1"/>
    <xf numFmtId="2" fontId="2" fillId="0" borderId="19" xfId="0" applyNumberFormat="1" applyFont="1" applyBorder="1"/>
    <xf numFmtId="44" fontId="2" fillId="0" borderId="0" xfId="1" applyNumberFormat="1" applyFont="1" applyAlignment="1">
      <alignment horizontal="right"/>
    </xf>
    <xf numFmtId="0" fontId="0" fillId="9" borderId="19" xfId="0" applyFill="1" applyBorder="1"/>
    <xf numFmtId="0" fontId="5" fillId="2" borderId="0" xfId="0" applyFont="1" applyFill="1" applyAlignment="1">
      <alignment horizontal="center"/>
    </xf>
    <xf numFmtId="0" fontId="5" fillId="2" borderId="5" xfId="0" applyFont="1" applyFill="1" applyBorder="1" applyAlignment="1">
      <alignment horizontal="center"/>
    </xf>
    <xf numFmtId="0" fontId="2" fillId="0" borderId="0" xfId="0" applyFont="1" applyAlignment="1">
      <alignment horizontal="right"/>
    </xf>
    <xf numFmtId="0" fontId="2" fillId="0" borderId="5" xfId="0" applyFont="1" applyBorder="1" applyAlignment="1">
      <alignment horizontal="right"/>
    </xf>
    <xf numFmtId="0" fontId="10" fillId="6" borderId="0" xfId="0" applyFont="1" applyFill="1" applyAlignment="1">
      <alignment horizontal="center" wrapText="1"/>
    </xf>
    <xf numFmtId="0" fontId="11" fillId="0" borderId="0" xfId="0" applyFont="1" applyAlignment="1">
      <alignment horizontal="center" wrapText="1"/>
    </xf>
    <xf numFmtId="0" fontId="11" fillId="0" borderId="22" xfId="0" applyFont="1" applyBorder="1" applyAlignment="1">
      <alignment horizontal="center" wrapText="1"/>
    </xf>
    <xf numFmtId="0" fontId="2" fillId="0" borderId="12" xfId="0" applyFont="1" applyBorder="1" applyAlignment="1">
      <alignment horizontal="right"/>
    </xf>
    <xf numFmtId="0" fontId="15" fillId="6" borderId="0" xfId="0" applyFont="1" applyFill="1" applyAlignment="1">
      <alignment horizontal="center"/>
    </xf>
    <xf numFmtId="0" fontId="11" fillId="0" borderId="0" xfId="0" applyFont="1" applyAlignment="1">
      <alignment horizontal="right"/>
    </xf>
    <xf numFmtId="0" fontId="3" fillId="0" borderId="0" xfId="0" applyFont="1" applyAlignment="1">
      <alignment horizontal="center"/>
    </xf>
    <xf numFmtId="0" fontId="0" fillId="0" borderId="0" xfId="0" applyAlignme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7</xdr:col>
      <xdr:colOff>0</xdr:colOff>
      <xdr:row>9</xdr:row>
      <xdr:rowOff>180975</xdr:rowOff>
    </xdr:to>
    <xdr:sp macro="" textlink="">
      <xdr:nvSpPr>
        <xdr:cNvPr id="3" name="TextBox 2">
          <a:extLst>
            <a:ext uri="{FF2B5EF4-FFF2-40B4-BE49-F238E27FC236}">
              <a16:creationId xmlns:a16="http://schemas.microsoft.com/office/drawing/2014/main" id="{35E9E555-0DC5-0F64-6857-B8EEEC4F7E73}"/>
            </a:ext>
            <a:ext uri="{147F2762-F138-4A5C-976F-8EAC2B608ADB}">
              <a16:predDERef xmlns:a16="http://schemas.microsoft.com/office/drawing/2014/main" pred="{B9BB5A7D-7995-35BB-4955-43EE79EEB658}"/>
            </a:ext>
          </a:extLst>
        </xdr:cNvPr>
        <xdr:cNvSpPr txBox="1"/>
      </xdr:nvSpPr>
      <xdr:spPr>
        <a:xfrm>
          <a:off x="0" y="9525"/>
          <a:ext cx="9496425" cy="19716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Pfizer Inc. is a pharmaceutical company which was founded in 1849 in Brooklyn New York. Currently, it is hearquartered in New York, New York with Albert Bourla assuming the role as the CEO. Pfizer is among the worlds biggest pharmaceutical firms and is renowned for their innovative approach to the creation, testing, and production of numerous vaccines and prescription medications. With 175 years of experience and presence in the healthcare sector, Pfizer Inc. have established themselves as trailblazers and innovators in several healthcare related industries including immunology, cancer, consumer healthcare products and vaccines (Pfizer Inc. nd.). </a:t>
          </a:r>
        </a:p>
        <a:p>
          <a:pPr marL="0" indent="0" algn="l"/>
          <a:r>
            <a:rPr lang="en-US" sz="1100" b="0" i="0" u="none" strike="noStrike">
              <a:solidFill>
                <a:srgbClr val="000000"/>
              </a:solidFill>
              <a:latin typeface="Aptos Narrow" panose="020B0004020202020204" pitchFamily="34" charset="0"/>
            </a:rPr>
            <a:t>Being synonymous with producing innovative medications such as Viagra, Lipitor and Lyrica, in 2020 during the COVID-19 pandemic, Pfizer Inc. developed and released their COVID-19 vaccine that they co-developed with BioNTech. Said vaccine(s) dominated the vaccine market during the pandemic and to this day dominates as Pfizer major growth drivers.</a:t>
          </a:r>
        </a:p>
        <a:p>
          <a:pPr marL="0" indent="0" algn="l"/>
          <a:r>
            <a:rPr lang="en-US" sz="1100" b="0" i="0" u="none" strike="noStrike">
              <a:solidFill>
                <a:srgbClr val="000000"/>
              </a:solidFill>
              <a:latin typeface="Aptos Narrow" panose="020B0004020202020204" pitchFamily="34" charset="0"/>
            </a:rPr>
            <a:t>Understanding that sales from COVID-19 vaccines are dwindling, Pfizer Inc. have spent the past few years with aggressive acquisition of several pharmaceutical companies, specifically in the cancer research/medication industry (Erman &amp; Mishra, 2023). This ensures the market and investors that Pfizer Inc. will continue as among the top innovators in the healthcare sector via focusing on addressing ongoing healthcare challenges and capitalizing on emerging markets.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180975</xdr:rowOff>
    </xdr:from>
    <xdr:to>
      <xdr:col>13</xdr:col>
      <xdr:colOff>9525</xdr:colOff>
      <xdr:row>9</xdr:row>
      <xdr:rowOff>371475</xdr:rowOff>
    </xdr:to>
    <xdr:sp macro="" textlink="">
      <xdr:nvSpPr>
        <xdr:cNvPr id="6" name="TextBox 5">
          <a:extLst>
            <a:ext uri="{FF2B5EF4-FFF2-40B4-BE49-F238E27FC236}">
              <a16:creationId xmlns:a16="http://schemas.microsoft.com/office/drawing/2014/main" id="{198CB879-AD18-5CDC-434D-8E5CCBCB4144}"/>
            </a:ext>
            <a:ext uri="{147F2762-F138-4A5C-976F-8EAC2B608ADB}">
              <a16:predDERef xmlns:a16="http://schemas.microsoft.com/office/drawing/2014/main" pred="{7645D55F-005F-CCA9-792C-D47DA7C780C0}"/>
            </a:ext>
          </a:extLst>
        </xdr:cNvPr>
        <xdr:cNvSpPr txBox="1"/>
      </xdr:nvSpPr>
      <xdr:spPr>
        <a:xfrm>
          <a:off x="10506075" y="419100"/>
          <a:ext cx="4276725" cy="2171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Pfizer Inc.'s Net cash provided by operating activities for 2022 amounts to approximately $29.3 million which fell by 10% compared to 2021's $32.6 million. This numbers are in contrast to Pfizer's positive trend in reported net income wherein they earned $31.4 million in 2022 and $22.5 million in 2021, and $6.7 million in 2020.</a:t>
          </a:r>
        </a:p>
        <a:p>
          <a:pPr marL="0" indent="0" algn="l"/>
          <a:r>
            <a:rPr lang="en-US" sz="1200" b="0" i="0" u="none" strike="noStrike">
              <a:solidFill>
                <a:srgbClr val="000000"/>
              </a:solidFill>
              <a:latin typeface="Aptos Narrow" panose="020B0004020202020204" pitchFamily="34" charset="0"/>
            </a:rPr>
            <a:t>In 2022, Other Assets decreased by $4.5 million, a drastic measure compared to previous fiscal years which also represents 70% of the other assets/liabilities total. This is due to the acquisition and higher inventory levels of Paxlovid which played a major factor in Pfizer's lower net cash from operating activities comapred to 2021.</a:t>
          </a:r>
        </a:p>
      </xdr:txBody>
    </xdr:sp>
    <xdr:clientData/>
  </xdr:twoCellAnchor>
  <xdr:twoCellAnchor>
    <xdr:from>
      <xdr:col>6</xdr:col>
      <xdr:colOff>0</xdr:colOff>
      <xdr:row>16</xdr:row>
      <xdr:rowOff>0</xdr:rowOff>
    </xdr:from>
    <xdr:to>
      <xdr:col>12</xdr:col>
      <xdr:colOff>600075</xdr:colOff>
      <xdr:row>26</xdr:row>
      <xdr:rowOff>190500</xdr:rowOff>
    </xdr:to>
    <xdr:sp macro="" textlink="">
      <xdr:nvSpPr>
        <xdr:cNvPr id="7" name="TextBox 6">
          <a:extLst>
            <a:ext uri="{FF2B5EF4-FFF2-40B4-BE49-F238E27FC236}">
              <a16:creationId xmlns:a16="http://schemas.microsoft.com/office/drawing/2014/main" id="{3272E63B-7B61-87D1-9008-D74313C02CEB}"/>
            </a:ext>
            <a:ext uri="{147F2762-F138-4A5C-976F-8EAC2B608ADB}">
              <a16:predDERef xmlns:a16="http://schemas.microsoft.com/office/drawing/2014/main" pred="{198CB879-AD18-5CDC-434D-8E5CCBCB4144}"/>
            </a:ext>
          </a:extLst>
        </xdr:cNvPr>
        <xdr:cNvSpPr txBox="1"/>
      </xdr:nvSpPr>
      <xdr:spPr>
        <a:xfrm>
          <a:off x="10506075" y="3810000"/>
          <a:ext cx="4257675" cy="25717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Net cash provided by Pfizer Inc.'s investing activities shows that the company lost/spent 30% less compared to 2021. It is worth noting that Pfizer Inc. spent aggressively in acquiring businesses totalling to $22.9 million in 2022, something they have not done for both 2021 and 2020 which is influenced by the market volatitily brought upon by the pandemic.</a:t>
          </a:r>
        </a:p>
        <a:p>
          <a:pPr marL="0" indent="0" algn="l"/>
          <a:r>
            <a:rPr lang="en-US" sz="1200" b="0" i="0" u="none" strike="noStrike">
              <a:solidFill>
                <a:srgbClr val="000000"/>
              </a:solidFill>
              <a:latin typeface="Aptos Narrow" panose="020B0004020202020204" pitchFamily="34" charset="0"/>
            </a:rPr>
            <a:t>However, the expenditures are offset by massive gains in proceeds from redemptions/sales of short-term investment amounting to $44.8 million representing a 63% increase from 2021 and a 300% growth from 2020.</a:t>
          </a:r>
        </a:p>
        <a:p>
          <a:pPr marL="0" indent="0" algn="l"/>
          <a:r>
            <a:rPr lang="en-US" sz="1200" b="0" i="0" u="none" strike="noStrike">
              <a:solidFill>
                <a:srgbClr val="000000"/>
              </a:solidFill>
              <a:latin typeface="Aptos Narrow" panose="020B0004020202020204" pitchFamily="34" charset="0"/>
            </a:rPr>
            <a:t>Additionally, Pfizer Inc.'s joint venture with GSK resulted to $3.9 million in dividends, all of which resulting to lesser total expenditure by Pfizer Inc. when comparing 2022 and 2021 mainly.</a:t>
          </a:r>
        </a:p>
        <a:p>
          <a:pPr marL="0" indent="0" algn="l"/>
          <a:endParaRPr lang="en-US" sz="1100">
            <a:latin typeface="+mn-lt"/>
            <a:ea typeface="+mn-lt"/>
            <a:cs typeface="+mn-lt"/>
          </a:endParaRPr>
        </a:p>
      </xdr:txBody>
    </xdr:sp>
    <xdr:clientData/>
  </xdr:twoCellAnchor>
  <xdr:twoCellAnchor>
    <xdr:from>
      <xdr:col>6</xdr:col>
      <xdr:colOff>0</xdr:colOff>
      <xdr:row>28</xdr:row>
      <xdr:rowOff>0</xdr:rowOff>
    </xdr:from>
    <xdr:to>
      <xdr:col>13</xdr:col>
      <xdr:colOff>0</xdr:colOff>
      <xdr:row>37</xdr:row>
      <xdr:rowOff>180975</xdr:rowOff>
    </xdr:to>
    <xdr:sp macro="" textlink="">
      <xdr:nvSpPr>
        <xdr:cNvPr id="8" name="TextBox 7">
          <a:extLst>
            <a:ext uri="{FF2B5EF4-FFF2-40B4-BE49-F238E27FC236}">
              <a16:creationId xmlns:a16="http://schemas.microsoft.com/office/drawing/2014/main" id="{8B0D506C-AE01-37BA-1606-99FA313BCB38}"/>
            </a:ext>
            <a:ext uri="{147F2762-F138-4A5C-976F-8EAC2B608ADB}">
              <a16:predDERef xmlns:a16="http://schemas.microsoft.com/office/drawing/2014/main" pred="{3272E63B-7B61-87D1-9008-D74313C02CEB}"/>
            </a:ext>
          </a:extLst>
        </xdr:cNvPr>
        <xdr:cNvSpPr txBox="1"/>
      </xdr:nvSpPr>
      <xdr:spPr>
        <a:xfrm>
          <a:off x="10506075" y="6591300"/>
          <a:ext cx="4267200" cy="2171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Pfizer Inc. spent $14.8 million in 2022, up by 51% from 2021's $9.8 million expenditure in financing activities.</a:t>
          </a:r>
        </a:p>
        <a:p>
          <a:pPr marL="0" indent="0" algn="l"/>
          <a:r>
            <a:rPr lang="en-US" sz="1200" b="0" i="0" u="none" strike="noStrike">
              <a:solidFill>
                <a:srgbClr val="000000"/>
              </a:solidFill>
              <a:latin typeface="Aptos Narrow" panose="020B0004020202020204" pitchFamily="34" charset="0"/>
            </a:rPr>
            <a:t>The payment of cash dividends, amounting to $8.9 million represents majority of the total financing activities, while debt repayments (short-term and long-term) comes in second for a total of  $7.1 million.</a:t>
          </a:r>
        </a:p>
        <a:p>
          <a:pPr marL="0" indent="0" algn="l"/>
          <a:r>
            <a:rPr lang="en-US" sz="1200" b="0" i="0" u="none" strike="noStrike">
              <a:solidFill>
                <a:srgbClr val="000000"/>
              </a:solidFill>
              <a:latin typeface="Aptos Narrow" panose="020B0004020202020204" pitchFamily="34" charset="0"/>
            </a:rPr>
            <a:t>$2 million was also used in purchasing common stock in 2022, which they did not invest in during 2021 and 2020.</a:t>
          </a:r>
        </a:p>
        <a:p>
          <a:pPr marL="0" indent="0" algn="l"/>
          <a:r>
            <a:rPr lang="en-US" sz="1200" b="0" i="0" u="none" strike="noStrike">
              <a:solidFill>
                <a:srgbClr val="000000"/>
              </a:solidFill>
              <a:latin typeface="Aptos Narrow" panose="020B0004020202020204" pitchFamily="34" charset="0"/>
            </a:rPr>
            <a:t>Overall, the negative value indicates that majority of cash flow from Pfizer Inc.'s financing activities are spent on payments of debt and dividends.</a:t>
          </a:r>
        </a:p>
        <a:p>
          <a:pPr marL="0" indent="0" algn="l"/>
          <a:endParaRPr 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xdr:row>
      <xdr:rowOff>0</xdr:rowOff>
    </xdr:from>
    <xdr:to>
      <xdr:col>16</xdr:col>
      <xdr:colOff>0</xdr:colOff>
      <xdr:row>6</xdr:row>
      <xdr:rowOff>390525</xdr:rowOff>
    </xdr:to>
    <xdr:sp macro="" textlink="">
      <xdr:nvSpPr>
        <xdr:cNvPr id="2" name="TextBox 1">
          <a:extLst>
            <a:ext uri="{FF2B5EF4-FFF2-40B4-BE49-F238E27FC236}">
              <a16:creationId xmlns:a16="http://schemas.microsoft.com/office/drawing/2014/main" id="{56EF6591-3C3D-BA5A-E044-A7ADE1A4F39A}"/>
            </a:ext>
          </a:extLst>
        </xdr:cNvPr>
        <xdr:cNvSpPr txBox="1"/>
      </xdr:nvSpPr>
      <xdr:spPr>
        <a:xfrm>
          <a:off x="13649325" y="409575"/>
          <a:ext cx="5334000" cy="1390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Total assets increased from $181,474 million in 2021 to $197,205 million in 2022, representing an 8.67% increase.</a:t>
          </a:r>
        </a:p>
        <a:p>
          <a:pPr marL="0" indent="0" algn="l"/>
          <a:endParaRPr lang="en-US" sz="1200" b="0" i="0" u="none" strike="noStrike">
            <a:solidFill>
              <a:srgbClr val="000000"/>
            </a:solidFill>
            <a:latin typeface="Aptos Narrow" panose="020B0004020202020204" pitchFamily="34" charset="0"/>
          </a:endParaRPr>
        </a:p>
        <a:p>
          <a:pPr marL="0" indent="0" algn="l"/>
          <a:r>
            <a:rPr lang="en-US" sz="1200" b="0" i="0" u="none" strike="noStrike">
              <a:solidFill>
                <a:srgbClr val="000000"/>
              </a:solidFill>
              <a:latin typeface="Aptos Narrow" panose="020B0004020202020204" pitchFamily="34" charset="0"/>
            </a:rPr>
            <a:t>The increase suggests that Pfizer has been able to grow its asset base, which could indicate expansion, acquistions, or even investments in the business.</a:t>
          </a:r>
        </a:p>
      </xdr:txBody>
    </xdr:sp>
    <xdr:clientData/>
  </xdr:twoCellAnchor>
  <xdr:twoCellAnchor>
    <xdr:from>
      <xdr:col>9</xdr:col>
      <xdr:colOff>9525</xdr:colOff>
      <xdr:row>7</xdr:row>
      <xdr:rowOff>390525</xdr:rowOff>
    </xdr:from>
    <xdr:to>
      <xdr:col>16</xdr:col>
      <xdr:colOff>0</xdr:colOff>
      <xdr:row>13</xdr:row>
      <xdr:rowOff>0</xdr:rowOff>
    </xdr:to>
    <xdr:sp macro="" textlink="">
      <xdr:nvSpPr>
        <xdr:cNvPr id="3" name="TextBox 2">
          <a:extLst>
            <a:ext uri="{FF2B5EF4-FFF2-40B4-BE49-F238E27FC236}">
              <a16:creationId xmlns:a16="http://schemas.microsoft.com/office/drawing/2014/main" id="{3A0517C5-3AE7-B1BC-A4CD-37FB670085F3}"/>
            </a:ext>
            <a:ext uri="{147F2762-F138-4A5C-976F-8EAC2B608ADB}">
              <a16:predDERef xmlns:a16="http://schemas.microsoft.com/office/drawing/2014/main" pred="{56EF6591-3C3D-BA5A-E044-A7ADE1A4F39A}"/>
            </a:ext>
          </a:extLst>
        </xdr:cNvPr>
        <xdr:cNvSpPr txBox="1"/>
      </xdr:nvSpPr>
      <xdr:spPr>
        <a:xfrm>
          <a:off x="13658850" y="2200275"/>
          <a:ext cx="5324475" cy="1019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Total liabilities decreased from $104,013 million in 2021 to $101,288 million in 2022, reflecting a 2.62% decrease.</a:t>
          </a:r>
        </a:p>
        <a:p>
          <a:pPr marL="0" indent="0" algn="l"/>
          <a:endParaRPr lang="en-US" sz="1200" b="0" i="0" u="none" strike="noStrike">
            <a:solidFill>
              <a:srgbClr val="000000"/>
            </a:solidFill>
            <a:latin typeface="Aptos Narrow" panose="020B0004020202020204" pitchFamily="34" charset="0"/>
          </a:endParaRPr>
        </a:p>
        <a:p>
          <a:pPr marL="0" indent="0" algn="l"/>
          <a:r>
            <a:rPr lang="en-US" sz="1200" b="0" i="0" u="none" strike="noStrike">
              <a:solidFill>
                <a:srgbClr val="000000"/>
              </a:solidFill>
              <a:latin typeface="Aptos Narrow" panose="020B0004020202020204" pitchFamily="34" charset="0"/>
            </a:rPr>
            <a:t>This indicates a reduction in debt and other obligations, which may signify improved financial health and reduced financial risk.</a:t>
          </a:r>
        </a:p>
      </xdr:txBody>
    </xdr:sp>
    <xdr:clientData/>
  </xdr:twoCellAnchor>
  <xdr:twoCellAnchor>
    <xdr:from>
      <xdr:col>8</xdr:col>
      <xdr:colOff>600075</xdr:colOff>
      <xdr:row>14</xdr:row>
      <xdr:rowOff>0</xdr:rowOff>
    </xdr:from>
    <xdr:to>
      <xdr:col>16</xdr:col>
      <xdr:colOff>0</xdr:colOff>
      <xdr:row>20</xdr:row>
      <xdr:rowOff>0</xdr:rowOff>
    </xdr:to>
    <xdr:sp macro="" textlink="">
      <xdr:nvSpPr>
        <xdr:cNvPr id="4" name="TextBox 3">
          <a:extLst>
            <a:ext uri="{FF2B5EF4-FFF2-40B4-BE49-F238E27FC236}">
              <a16:creationId xmlns:a16="http://schemas.microsoft.com/office/drawing/2014/main" id="{A65CF29A-BF8A-20B0-02D9-D5A7B8ACFD8E}"/>
            </a:ext>
            <a:ext uri="{147F2762-F138-4A5C-976F-8EAC2B608ADB}">
              <a16:predDERef xmlns:a16="http://schemas.microsoft.com/office/drawing/2014/main" pred="{3A0517C5-3AE7-B1BC-A4CD-37FB670085F3}"/>
            </a:ext>
          </a:extLst>
        </xdr:cNvPr>
        <xdr:cNvSpPr txBox="1"/>
      </xdr:nvSpPr>
      <xdr:spPr>
        <a:xfrm>
          <a:off x="13639800" y="3419475"/>
          <a:ext cx="5343525" cy="12096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Shareholders' equity rose from $77,462 million in 2021 to $95,916 million in 2022, marking a significant 23.82% increase.</a:t>
          </a:r>
        </a:p>
        <a:p>
          <a:pPr marL="0" indent="0" algn="l"/>
          <a:endParaRPr lang="en-US" sz="1200" b="0" i="0" u="none" strike="noStrike">
            <a:solidFill>
              <a:srgbClr val="000000"/>
            </a:solidFill>
            <a:latin typeface="Aptos Narrow" panose="020B0004020202020204" pitchFamily="34" charset="0"/>
          </a:endParaRPr>
        </a:p>
        <a:p>
          <a:pPr marL="0" indent="0" algn="l"/>
          <a:r>
            <a:rPr lang="en-US" sz="1200" b="0" i="0" u="none" strike="noStrike">
              <a:solidFill>
                <a:srgbClr val="000000"/>
              </a:solidFill>
              <a:latin typeface="Aptos Narrow" panose="020B0004020202020204" pitchFamily="34" charset="0"/>
            </a:rPr>
            <a:t>This increase suggests that pfizer assets have been financed increasingly through equity rather than debt, which could enhance the company's financial stability and resilience.</a:t>
          </a:r>
        </a:p>
      </xdr:txBody>
    </xdr:sp>
    <xdr:clientData/>
  </xdr:twoCellAnchor>
  <xdr:twoCellAnchor>
    <xdr:from>
      <xdr:col>9</xdr:col>
      <xdr:colOff>0</xdr:colOff>
      <xdr:row>21</xdr:row>
      <xdr:rowOff>0</xdr:rowOff>
    </xdr:from>
    <xdr:to>
      <xdr:col>16</xdr:col>
      <xdr:colOff>0</xdr:colOff>
      <xdr:row>26</xdr:row>
      <xdr:rowOff>190500</xdr:rowOff>
    </xdr:to>
    <xdr:sp macro="" textlink="">
      <xdr:nvSpPr>
        <xdr:cNvPr id="6" name="TextBox 4">
          <a:extLst>
            <a:ext uri="{FF2B5EF4-FFF2-40B4-BE49-F238E27FC236}">
              <a16:creationId xmlns:a16="http://schemas.microsoft.com/office/drawing/2014/main" id="{CE2ED805-712E-769C-F012-38ED8246E13A}"/>
            </a:ext>
            <a:ext uri="{147F2762-F138-4A5C-976F-8EAC2B608ADB}">
              <a16:predDERef xmlns:a16="http://schemas.microsoft.com/office/drawing/2014/main" pred="{A65CF29A-BF8A-20B0-02D9-D5A7B8ACFD8E}"/>
            </a:ext>
          </a:extLst>
        </xdr:cNvPr>
        <xdr:cNvSpPr txBox="1"/>
      </xdr:nvSpPr>
      <xdr:spPr>
        <a:xfrm>
          <a:off x="13649325" y="4838700"/>
          <a:ext cx="5334000" cy="1409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a:latin typeface="+mn-lt"/>
              <a:ea typeface="+mn-lt"/>
              <a:cs typeface="+mn-lt"/>
            </a:rPr>
            <a:t>The debt-to-equity ratio has decreased, indicating reduced financial leverage and potentially lower financial risk.</a:t>
          </a:r>
        </a:p>
        <a:p>
          <a:pPr marL="0" indent="0" algn="l"/>
          <a:r>
            <a:rPr lang="en-US" sz="1200">
              <a:latin typeface="+mn-lt"/>
              <a:ea typeface="+mn-lt"/>
              <a:cs typeface="+mn-lt"/>
            </a:rPr>
            <a:t>ROA has increased, indicating improved efficiency in asset utilization to generate profits.</a:t>
          </a:r>
        </a:p>
        <a:p>
          <a:pPr marL="0" indent="0" algn="l"/>
          <a:r>
            <a:rPr lang="en-US" sz="1200">
              <a:latin typeface="+mn-lt"/>
              <a:ea typeface="+mn-lt"/>
              <a:cs typeface="+mn-lt"/>
            </a:rPr>
            <a:t>ROE has increased, indicating enhanced profitability relative to shareholders' equity.</a:t>
          </a:r>
        </a:p>
        <a:p>
          <a:pPr marL="0" indent="0" algn="l"/>
          <a:r>
            <a:rPr lang="en-US" sz="1200">
              <a:latin typeface="+mn-lt"/>
              <a:ea typeface="+mn-lt"/>
              <a:cs typeface="+mn-lt"/>
            </a:rPr>
            <a:t>Overall, these ratios suggest improved financial performance and efficiency for Pfizer Inc. in 2022 compared to 2021.</a:t>
          </a:r>
        </a:p>
      </xdr:txBody>
    </xdr:sp>
    <xdr:clientData/>
  </xdr:twoCellAnchor>
  <xdr:twoCellAnchor>
    <xdr:from>
      <xdr:col>9</xdr:col>
      <xdr:colOff>0</xdr:colOff>
      <xdr:row>28</xdr:row>
      <xdr:rowOff>9525</xdr:rowOff>
    </xdr:from>
    <xdr:to>
      <xdr:col>16</xdr:col>
      <xdr:colOff>0</xdr:colOff>
      <xdr:row>36</xdr:row>
      <xdr:rowOff>0</xdr:rowOff>
    </xdr:to>
    <xdr:sp macro="" textlink="">
      <xdr:nvSpPr>
        <xdr:cNvPr id="7" name="TextBox 6">
          <a:extLst>
            <a:ext uri="{FF2B5EF4-FFF2-40B4-BE49-F238E27FC236}">
              <a16:creationId xmlns:a16="http://schemas.microsoft.com/office/drawing/2014/main" id="{4C741831-F797-60EF-950E-5CC5BD86392F}"/>
            </a:ext>
            <a:ext uri="{147F2762-F138-4A5C-976F-8EAC2B608ADB}">
              <a16:predDERef xmlns:a16="http://schemas.microsoft.com/office/drawing/2014/main" pred="{CE2ED805-712E-769C-F012-38ED8246E13A}"/>
            </a:ext>
          </a:extLst>
        </xdr:cNvPr>
        <xdr:cNvSpPr txBox="1"/>
      </xdr:nvSpPr>
      <xdr:spPr>
        <a:xfrm>
          <a:off x="13649325" y="6467475"/>
          <a:ext cx="5334000" cy="1600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a:latin typeface="+mn-lt"/>
              <a:ea typeface="+mn-lt"/>
              <a:cs typeface="+mn-lt"/>
            </a:rPr>
            <a:t>In conclusion, Pfizer's financial analysis for the year 2022 portrays a positive picture, with improvements in key financial metrics such as total assets, liabilities, and shareholders' equity. These trends suggest sound financial management and potential for continued growth and stability in the future. </a:t>
          </a:r>
          <a:endParaRPr lang="en-US" sz="1200" b="0" i="0" u="none" strike="noStrike">
            <a:solidFill>
              <a:srgbClr val="000000"/>
            </a:solidFill>
            <a:latin typeface="Aptos Narrow" panose="020B0004020202020204" pitchFamily="34" charset="0"/>
          </a:endParaRPr>
        </a:p>
        <a:p>
          <a:pPr marL="0" indent="0" algn="l"/>
          <a:endParaRPr lang="en-US" sz="1200" b="0" i="0" u="none" strike="noStrike">
            <a:solidFill>
              <a:srgbClr val="000000"/>
            </a:solidFill>
            <a:latin typeface="+mn-lt"/>
            <a:ea typeface="+mn-lt"/>
            <a:cs typeface="+mn-lt"/>
          </a:endParaRPr>
        </a:p>
        <a:p>
          <a:pPr marL="0" indent="0" algn="l"/>
          <a:r>
            <a:rPr lang="en-US" sz="1200">
              <a:latin typeface="+mn-lt"/>
              <a:ea typeface="+mn-lt"/>
              <a:cs typeface="+mn-lt"/>
            </a:rPr>
            <a:t>However, it's essential to consider other factors such as industry dynamics, market conditions, and regulatory factors for a comprehensive assessment of Pfizer's financial health.</a:t>
          </a:r>
        </a:p>
        <a:p>
          <a:pPr marL="0" indent="0" algn="l"/>
          <a:endParaRPr lang="en-US" sz="1100">
            <a:latin typeface="+mn-lt"/>
            <a:ea typeface="+mn-lt"/>
            <a:cs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2</xdr:row>
      <xdr:rowOff>9525</xdr:rowOff>
    </xdr:from>
    <xdr:to>
      <xdr:col>12</xdr:col>
      <xdr:colOff>19050</xdr:colOff>
      <xdr:row>15</xdr:row>
      <xdr:rowOff>180975</xdr:rowOff>
    </xdr:to>
    <xdr:sp macro="" textlink="">
      <xdr:nvSpPr>
        <xdr:cNvPr id="2" name="TextBox 1">
          <a:extLst>
            <a:ext uri="{FF2B5EF4-FFF2-40B4-BE49-F238E27FC236}">
              <a16:creationId xmlns:a16="http://schemas.microsoft.com/office/drawing/2014/main" id="{6578AA05-E1C0-1B78-6AE4-2EB3D42ED969}"/>
            </a:ext>
          </a:extLst>
        </xdr:cNvPr>
        <xdr:cNvSpPr txBox="1"/>
      </xdr:nvSpPr>
      <xdr:spPr>
        <a:xfrm>
          <a:off x="7077075" y="438150"/>
          <a:ext cx="4276725" cy="27717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a:latin typeface="+mn-lt"/>
              <a:ea typeface="+mn-lt"/>
              <a:cs typeface="+mn-lt"/>
            </a:rPr>
            <a:t>Pfizer Inc. reached a record in 200 for raking in $1 billion in revenue, the highest in the companies history. The revenue reflects a 23% growth from 2021, which also grew by 95% compared to their 2020 revenue.</a:t>
          </a:r>
        </a:p>
        <a:p>
          <a:pPr marL="0" indent="0" algn="l"/>
          <a:r>
            <a:rPr lang="en-US" sz="1200">
              <a:latin typeface="+mn-lt"/>
              <a:ea typeface="+mn-lt"/>
              <a:cs typeface="+mn-lt"/>
            </a:rPr>
            <a:t>Majority of the revenue is contributed by their sales of COVID-19 vaccines followed by Paxlovid, an all-year antiviral pill contributing  $18.9 million or 19% of 2022's revenue.</a:t>
          </a:r>
        </a:p>
        <a:p>
          <a:pPr marL="0" indent="0" algn="l"/>
          <a:r>
            <a:rPr lang="en-US" sz="1200">
              <a:latin typeface="+mn-lt"/>
              <a:ea typeface="+mn-lt"/>
              <a:cs typeface="+mn-lt"/>
            </a:rPr>
            <a:t>Unsurprisingly, all accounts under the income statement followed an upward trend and showed a positive .99 correlation coefficient. COGS and Operating expenses both experienced an increase of 11% and 20% respectively, however, it was not enough to offset the 43% gains in EBIT for 2022. The remaining tax and interest expenses also were not drastic which afforded another 43% increase in 2022's Net Income.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600075</xdr:colOff>
      <xdr:row>0</xdr:row>
      <xdr:rowOff>190500</xdr:rowOff>
    </xdr:from>
    <xdr:to>
      <xdr:col>12</xdr:col>
      <xdr:colOff>9525</xdr:colOff>
      <xdr:row>6</xdr:row>
      <xdr:rowOff>9525</xdr:rowOff>
    </xdr:to>
    <xdr:sp macro="" textlink="">
      <xdr:nvSpPr>
        <xdr:cNvPr id="2" name="TextBox 1">
          <a:extLst>
            <a:ext uri="{FF2B5EF4-FFF2-40B4-BE49-F238E27FC236}">
              <a16:creationId xmlns:a16="http://schemas.microsoft.com/office/drawing/2014/main" id="{61BA579B-4780-2ABA-8A9D-5CA6841A0F0A}"/>
            </a:ext>
          </a:extLst>
        </xdr:cNvPr>
        <xdr:cNvSpPr txBox="1"/>
      </xdr:nvSpPr>
      <xdr:spPr>
        <a:xfrm>
          <a:off x="10191750" y="190500"/>
          <a:ext cx="3676650" cy="1009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Pfizer Inc.'s DOL of 1.73% implies that their operating income goes up or down by 1.73% in response to their sales fluctuating  by 1%</a:t>
          </a:r>
        </a:p>
      </xdr:txBody>
    </xdr:sp>
    <xdr:clientData/>
  </xdr:twoCellAnchor>
  <xdr:twoCellAnchor>
    <xdr:from>
      <xdr:col>6</xdr:col>
      <xdr:colOff>0</xdr:colOff>
      <xdr:row>7</xdr:row>
      <xdr:rowOff>180975</xdr:rowOff>
    </xdr:from>
    <xdr:to>
      <xdr:col>12</xdr:col>
      <xdr:colOff>9525</xdr:colOff>
      <xdr:row>13</xdr:row>
      <xdr:rowOff>9525</xdr:rowOff>
    </xdr:to>
    <xdr:sp macro="" textlink="">
      <xdr:nvSpPr>
        <xdr:cNvPr id="3" name="TextBox 2">
          <a:extLst>
            <a:ext uri="{FF2B5EF4-FFF2-40B4-BE49-F238E27FC236}">
              <a16:creationId xmlns:a16="http://schemas.microsoft.com/office/drawing/2014/main" id="{247D6D46-F537-23B4-41FD-CCD949FC3ABF}"/>
            </a:ext>
            <a:ext uri="{147F2762-F138-4A5C-976F-8EAC2B608ADB}">
              <a16:predDERef xmlns:a16="http://schemas.microsoft.com/office/drawing/2014/main" pred="{61BA579B-4780-2ABA-8A9D-5CA6841A0F0A}"/>
            </a:ext>
          </a:extLst>
        </xdr:cNvPr>
        <xdr:cNvSpPr txBox="1"/>
      </xdr:nvSpPr>
      <xdr:spPr>
        <a:xfrm>
          <a:off x="10201275" y="1562100"/>
          <a:ext cx="3667125" cy="1009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Pfizer Inc.'s DFL implies  a 1% change in its DFL, the company's Operating Income will fluctuate accordingly by 1.04%. It does also indicate that Pfizer Inc. is more stable compared to their competitors (2.44%) (Stock Analysis on Net, 2023).</a:t>
          </a:r>
        </a:p>
      </xdr:txBody>
    </xdr:sp>
    <xdr:clientData/>
  </xdr:twoCellAnchor>
  <xdr:twoCellAnchor>
    <xdr:from>
      <xdr:col>6</xdr:col>
      <xdr:colOff>0</xdr:colOff>
      <xdr:row>15</xdr:row>
      <xdr:rowOff>0</xdr:rowOff>
    </xdr:from>
    <xdr:to>
      <xdr:col>12</xdr:col>
      <xdr:colOff>0</xdr:colOff>
      <xdr:row>20</xdr:row>
      <xdr:rowOff>9525</xdr:rowOff>
    </xdr:to>
    <xdr:sp macro="" textlink="">
      <xdr:nvSpPr>
        <xdr:cNvPr id="4" name="TextBox 3">
          <a:extLst>
            <a:ext uri="{FF2B5EF4-FFF2-40B4-BE49-F238E27FC236}">
              <a16:creationId xmlns:a16="http://schemas.microsoft.com/office/drawing/2014/main" id="{855BB6AB-9B76-CC32-0AB2-8C995C876EE8}"/>
            </a:ext>
            <a:ext uri="{147F2762-F138-4A5C-976F-8EAC2B608ADB}">
              <a16:predDERef xmlns:a16="http://schemas.microsoft.com/office/drawing/2014/main" pred="{247D6D46-F537-23B4-41FD-CCD949FC3ABF}"/>
            </a:ext>
          </a:extLst>
        </xdr:cNvPr>
        <xdr:cNvSpPr txBox="1"/>
      </xdr:nvSpPr>
      <xdr:spPr>
        <a:xfrm>
          <a:off x="10201275" y="2943225"/>
          <a:ext cx="3657600" cy="10001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i="0" u="none" strike="noStrike">
              <a:solidFill>
                <a:srgbClr val="000000"/>
              </a:solidFill>
              <a:latin typeface="Aptos Narrow" panose="020B0004020202020204" pitchFamily="34" charset="0"/>
            </a:rPr>
            <a:t>Pfizer Inc.'s DCL covers the company's EPS volatility in relation to their sales. Therefore, a 1% change on Pfizer Inc.'s sales would result to a 1.80% fluctuation on their EPS.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xdr:row>
      <xdr:rowOff>0</xdr:rowOff>
    </xdr:from>
    <xdr:to>
      <xdr:col>13</xdr:col>
      <xdr:colOff>600075</xdr:colOff>
      <xdr:row>27</xdr:row>
      <xdr:rowOff>0</xdr:rowOff>
    </xdr:to>
    <xdr:sp macro="" textlink="">
      <xdr:nvSpPr>
        <xdr:cNvPr id="2" name="TextBox 1">
          <a:extLst>
            <a:ext uri="{FF2B5EF4-FFF2-40B4-BE49-F238E27FC236}">
              <a16:creationId xmlns:a16="http://schemas.microsoft.com/office/drawing/2014/main" id="{2F6963A8-4B5B-662A-F2F0-025A1DE29622}"/>
            </a:ext>
          </a:extLst>
        </xdr:cNvPr>
        <xdr:cNvSpPr txBox="1"/>
      </xdr:nvSpPr>
      <xdr:spPr>
        <a:xfrm>
          <a:off x="5200650" y="200025"/>
          <a:ext cx="5476875" cy="58007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200">
              <a:latin typeface="+mn-lt"/>
              <a:ea typeface="+mn-lt"/>
              <a:cs typeface="+mn-lt"/>
            </a:rPr>
            <a:t>Pfizer Inc.'s DIO in 2022 decreased by 10% from 107 to 96 days, indicating that it takes less days for Pfizer Inc. to convert their inventory into sales compared to 2021. For comparison purposes, Johnson &amp; Johnson (J&amp;J), one of Pfizers Inc.'s major competition averaged a quarterly DIO of 136 days in 2022</a:t>
          </a:r>
          <a:r>
            <a:rPr lang="en-US" sz="1200" b="0" i="0" u="none" strike="noStrike">
              <a:solidFill>
                <a:srgbClr val="000000"/>
              </a:solidFill>
              <a:latin typeface="Aptos Narrow" panose="020B0004020202020204" pitchFamily="34" charset="0"/>
            </a:rPr>
            <a:t> (DiscoverCI, 2023)</a:t>
          </a:r>
          <a:r>
            <a:rPr lang="en-US" sz="1200">
              <a:latin typeface="+mn-lt"/>
              <a:ea typeface="+mn-lt"/>
              <a:cs typeface="+mn-lt"/>
            </a:rPr>
            <a:t>. Besides the obvious that Pfizer Inc. is able to sell their inventory more efficiently, additional benefits include lower storage/inventory related costs, and Pfizer Inc. is able to maximize revenue because customers are more inclined to buy products that are readily available rather than wait for inventory to be available.</a:t>
          </a:r>
        </a:p>
        <a:p>
          <a:pPr marL="0" indent="0" algn="l"/>
          <a:endParaRPr lang="en-US" sz="1200">
            <a:latin typeface="+mn-lt"/>
            <a:ea typeface="+mn-lt"/>
            <a:cs typeface="+mn-lt"/>
          </a:endParaRPr>
        </a:p>
        <a:p>
          <a:pPr marL="0" indent="0" algn="l"/>
          <a:r>
            <a:rPr lang="en-US" sz="1200">
              <a:latin typeface="+mn-lt"/>
              <a:ea typeface="+mn-lt"/>
              <a:cs typeface="+mn-lt"/>
            </a:rPr>
            <a:t>Pfizer Inc.'s DSO in 2022 decreased by 19% from 48 to 39 days which indicates that, on average, it takes 39 days for Pfizer Inc. to collect receivables.</a:t>
          </a:r>
        </a:p>
        <a:p>
          <a:pPr marL="0" indent="0" algn="l"/>
          <a:r>
            <a:rPr lang="en-US" sz="1200">
              <a:latin typeface="+mn-lt"/>
              <a:ea typeface="+mn-lt"/>
              <a:cs typeface="+mn-lt"/>
            </a:rPr>
            <a:t>For comparison purposes, Johnson &amp; Johnson (J&amp;J), one of Pfizers Inc.'s major competition averaged a quarterly DSO of 61 days in 2022</a:t>
          </a:r>
          <a:r>
            <a:rPr lang="en-US" sz="1200" b="0" i="0" u="none" strike="noStrike">
              <a:solidFill>
                <a:srgbClr val="000000"/>
              </a:solidFill>
              <a:latin typeface="Aptos Narrow" panose="020B0004020202020204" pitchFamily="34" charset="0"/>
            </a:rPr>
            <a:t> (DiscoverCI, 2023)</a:t>
          </a:r>
          <a:r>
            <a:rPr lang="en-US" sz="1200">
              <a:latin typeface="+mn-lt"/>
              <a:ea typeface="+mn-lt"/>
              <a:cs typeface="+mn-lt"/>
            </a:rPr>
            <a:t>. This implies that Pfizer Inc. improved the efficiencly of their collection processes and are suffering from delayed payments compared to their 2021 DSO and against J&amp;J.</a:t>
          </a:r>
        </a:p>
        <a:p>
          <a:pPr marL="0" indent="0" algn="l"/>
          <a:endParaRPr lang="en-US" sz="1200">
            <a:latin typeface="+mn-lt"/>
            <a:ea typeface="+mn-lt"/>
            <a:cs typeface="+mn-lt"/>
          </a:endParaRPr>
        </a:p>
        <a:p>
          <a:pPr marL="0" indent="0" algn="l"/>
          <a:r>
            <a:rPr lang="en-US" sz="1200">
              <a:latin typeface="+mn-lt"/>
              <a:ea typeface="+mn-lt"/>
              <a:cs typeface="+mn-lt"/>
            </a:rPr>
            <a:t>Pfizer Inc.'s DPO in 2022 decreased by 10% from 73 to 66 days which indicates that, on average, it takes 69 days for Pfizer Inc. to pay back their accounts payables.</a:t>
          </a:r>
        </a:p>
        <a:p>
          <a:pPr marL="0" marR="0" indent="0" algn="l">
            <a:lnSpc>
              <a:spcPct val="100000"/>
            </a:lnSpc>
            <a:spcBef>
              <a:spcPts val="0"/>
            </a:spcBef>
            <a:spcAft>
              <a:spcPts val="0"/>
            </a:spcAft>
          </a:pPr>
          <a:r>
            <a:rPr lang="en-US" sz="1200">
              <a:latin typeface="+mn-lt"/>
              <a:ea typeface="+mn-lt"/>
              <a:cs typeface="+mn-lt"/>
            </a:rPr>
            <a:t>For comparison purposes, Johnson &amp; Johnson (J&amp;J), one of Pfizers Inc.'s major competition averaged a quarterly DPO of 124 days in 2022</a:t>
          </a:r>
          <a:r>
            <a:rPr lang="en-US" sz="1200" b="0" i="0" u="none" strike="noStrike">
              <a:solidFill>
                <a:srgbClr val="000000"/>
              </a:solidFill>
              <a:latin typeface="Aptos Narrow" panose="020B0004020202020204" pitchFamily="34" charset="0"/>
            </a:rPr>
            <a:t>(DiscoverCI, 2023) </a:t>
          </a:r>
          <a:r>
            <a:rPr lang="en-US" sz="1200">
              <a:latin typeface="+mn-lt"/>
              <a:ea typeface="+mn-lt"/>
              <a:cs typeface="+mn-lt"/>
            </a:rPr>
            <a:t>. This is essential for developing better relationships with business partners creditors, and suppliers which could also result to negotiation leverages for the future. Additionally, lower DPO also signals a companies improving financial health as it shows that Pfizer Inc. is able to pay debts in a shorter time, therefore decreasing liabilities in the process.</a:t>
          </a:r>
          <a:endParaRPr lang="en-US" sz="1200" b="0" i="0" u="none" strike="noStrike">
            <a:solidFill>
              <a:srgbClr val="000000"/>
            </a:solidFill>
            <a:latin typeface="Aptos Narrow" panose="020B0004020202020204" pitchFamily="34" charset="0"/>
          </a:endParaRPr>
        </a:p>
        <a:p>
          <a:pPr marL="0" indent="0" algn="l"/>
          <a:endParaRPr lang="en-US" sz="12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1200" b="0" i="0" u="none" strike="noStrike">
              <a:solidFill>
                <a:srgbClr val="000000"/>
              </a:solidFill>
              <a:latin typeface="Aptos Narrow" panose="020B0004020202020204" pitchFamily="34" charset="0"/>
            </a:rPr>
            <a:t>In 2022, Pfizer Inc.'s CCC experienced a drastic decrease off 15 percent turning their average CCC of 82 days to 69 days. This means that overall, Pfizer Inc. increased their efficiency in selling their inventory with lesser turnaround for collecting receivables which also enable the company in paying off their accounts payable earlier due to more available cash.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DB79-752B-4EC6-AA73-409AA5AEFE95}">
  <dimension ref="A12:K59"/>
  <sheetViews>
    <sheetView tabSelected="1" topLeftCell="A16" zoomScaleNormal="100" workbookViewId="0">
      <selection activeCell="I35" sqref="I35"/>
    </sheetView>
  </sheetViews>
  <sheetFormatPr defaultRowHeight="15.75"/>
  <cols>
    <col min="1" max="1" width="80.7109375" style="1" customWidth="1"/>
    <col min="2" max="3" width="12.5703125" style="1" bestFit="1" customWidth="1"/>
    <col min="4" max="7" width="9.140625" style="1"/>
    <col min="8" max="8" width="82.140625" style="1" bestFit="1" customWidth="1"/>
    <col min="9" max="9" width="14.5703125" style="1" bestFit="1" customWidth="1"/>
    <col min="10" max="11" width="9.85546875" style="1" bestFit="1" customWidth="1"/>
    <col min="12" max="15" width="9.140625" style="1"/>
    <col min="16" max="16" width="10.28515625" style="1" bestFit="1" customWidth="1"/>
    <col min="17" max="16384" width="9.140625" style="1"/>
  </cols>
  <sheetData>
    <row r="12" spans="1:11" ht="18.75">
      <c r="A12" s="185" t="s">
        <v>0</v>
      </c>
      <c r="B12" s="185"/>
      <c r="C12" s="186"/>
      <c r="H12" s="185" t="s">
        <v>1</v>
      </c>
      <c r="I12" s="185"/>
      <c r="J12" s="185"/>
      <c r="K12" s="185"/>
    </row>
    <row r="13" spans="1:11">
      <c r="A13" s="1" t="s">
        <v>2</v>
      </c>
      <c r="B13" s="187" t="s">
        <v>3</v>
      </c>
      <c r="C13" s="188"/>
      <c r="H13" s="37" t="s">
        <v>2</v>
      </c>
      <c r="I13" s="187" t="s">
        <v>3</v>
      </c>
      <c r="J13" s="187"/>
      <c r="K13" s="188"/>
    </row>
    <row r="14" spans="1:11">
      <c r="B14" s="3">
        <v>2022</v>
      </c>
      <c r="C14" s="26">
        <v>2021</v>
      </c>
      <c r="H14" s="37"/>
      <c r="I14" s="3">
        <v>2022</v>
      </c>
      <c r="J14" s="1">
        <v>2021</v>
      </c>
      <c r="K14" s="26">
        <v>2020</v>
      </c>
    </row>
    <row r="15" spans="1:11">
      <c r="A15" s="3" t="s">
        <v>4</v>
      </c>
      <c r="C15" s="26"/>
      <c r="H15" s="37" t="s">
        <v>5</v>
      </c>
      <c r="I15" s="17">
        <v>100330</v>
      </c>
      <c r="J15" s="6">
        <v>81288</v>
      </c>
      <c r="K15" s="40">
        <v>41651</v>
      </c>
    </row>
    <row r="16" spans="1:11">
      <c r="A16" s="1" t="s">
        <v>6</v>
      </c>
      <c r="B16" s="50">
        <v>416</v>
      </c>
      <c r="C16" s="27">
        <v>1944</v>
      </c>
      <c r="H16" s="37" t="s">
        <v>7</v>
      </c>
      <c r="I16" s="13"/>
      <c r="J16" s="8"/>
      <c r="K16" s="41"/>
    </row>
    <row r="17" spans="1:11">
      <c r="A17" s="1" t="s">
        <v>8</v>
      </c>
      <c r="B17" s="51">
        <v>22316</v>
      </c>
      <c r="C17" s="28">
        <v>29125</v>
      </c>
      <c r="H17" s="38" t="s">
        <v>9</v>
      </c>
      <c r="I17" s="12">
        <v>34344</v>
      </c>
      <c r="J17" s="8">
        <v>30821</v>
      </c>
      <c r="K17" s="41">
        <v>8484</v>
      </c>
    </row>
    <row r="18" spans="1:11" ht="31.5">
      <c r="A18" s="2" t="s">
        <v>10</v>
      </c>
      <c r="B18" s="51">
        <v>10952</v>
      </c>
      <c r="C18" s="28">
        <v>11479</v>
      </c>
      <c r="H18" s="38" t="s">
        <v>11</v>
      </c>
      <c r="I18" s="13">
        <v>13677</v>
      </c>
      <c r="J18" s="8">
        <v>12703</v>
      </c>
      <c r="K18" s="41">
        <v>11597</v>
      </c>
    </row>
    <row r="19" spans="1:11">
      <c r="A19" s="1" t="s">
        <v>12</v>
      </c>
      <c r="B19" s="51">
        <v>8981</v>
      </c>
      <c r="C19" s="28">
        <v>9059</v>
      </c>
      <c r="H19" s="38" t="s">
        <v>13</v>
      </c>
      <c r="I19" s="13">
        <v>11428</v>
      </c>
      <c r="J19" s="8">
        <v>10360</v>
      </c>
      <c r="K19" s="41">
        <v>8709</v>
      </c>
    </row>
    <row r="20" spans="1:11">
      <c r="A20" s="1" t="s">
        <v>14</v>
      </c>
      <c r="B20" s="51">
        <v>3577</v>
      </c>
      <c r="C20" s="28">
        <v>4266</v>
      </c>
      <c r="H20" s="38" t="s">
        <v>15</v>
      </c>
      <c r="I20" s="35">
        <v>953</v>
      </c>
      <c r="J20" s="8">
        <v>3469</v>
      </c>
      <c r="K20" s="41">
        <v>684</v>
      </c>
    </row>
    <row r="21" spans="1:11" ht="16.5" thickBot="1">
      <c r="A21" s="1" t="s">
        <v>16</v>
      </c>
      <c r="B21" s="52">
        <v>5017</v>
      </c>
      <c r="C21" s="29">
        <v>3820</v>
      </c>
      <c r="H21" s="38" t="s">
        <v>17</v>
      </c>
      <c r="I21" s="13">
        <v>3609</v>
      </c>
      <c r="J21" s="8">
        <v>3700</v>
      </c>
      <c r="K21" s="41">
        <v>3348</v>
      </c>
    </row>
    <row r="22" spans="1:11">
      <c r="A22" s="4" t="s">
        <v>18</v>
      </c>
      <c r="B22" s="51">
        <v>51259</v>
      </c>
      <c r="C22" s="28">
        <v>59693</v>
      </c>
      <c r="H22" s="38" t="s">
        <v>19</v>
      </c>
      <c r="I22" s="13">
        <v>1375</v>
      </c>
      <c r="J22" s="8">
        <v>802</v>
      </c>
      <c r="K22" s="41">
        <v>579</v>
      </c>
    </row>
    <row r="23" spans="1:11" ht="16.5" thickBot="1">
      <c r="A23" s="1" t="s">
        <v>20</v>
      </c>
      <c r="B23" s="51">
        <v>11033</v>
      </c>
      <c r="C23" s="28">
        <v>16472</v>
      </c>
      <c r="H23" s="38" t="s">
        <v>21</v>
      </c>
      <c r="I23" s="36">
        <v>217</v>
      </c>
      <c r="J23" s="24">
        <v>-4878</v>
      </c>
      <c r="K23" s="42">
        <v>1213</v>
      </c>
    </row>
    <row r="24" spans="1:11">
      <c r="A24" s="1" t="s">
        <v>22</v>
      </c>
      <c r="B24" s="51">
        <v>4036</v>
      </c>
      <c r="C24" s="28">
        <v>5054</v>
      </c>
      <c r="H24" s="37" t="s">
        <v>23</v>
      </c>
      <c r="I24" s="13">
        <v>34729</v>
      </c>
      <c r="J24" s="8">
        <v>24311</v>
      </c>
      <c r="K24" s="41">
        <v>7036</v>
      </c>
    </row>
    <row r="25" spans="1:11" ht="16.5" thickBot="1">
      <c r="A25" s="1" t="s">
        <v>24</v>
      </c>
      <c r="B25" s="51">
        <v>16274</v>
      </c>
      <c r="C25" s="28">
        <v>14882</v>
      </c>
      <c r="H25" s="37" t="s">
        <v>25</v>
      </c>
      <c r="I25" s="14">
        <v>3328</v>
      </c>
      <c r="J25" s="9">
        <v>1852</v>
      </c>
      <c r="K25" s="42">
        <v>370</v>
      </c>
    </row>
    <row r="26" spans="1:11">
      <c r="A26" s="1" t="s">
        <v>26</v>
      </c>
      <c r="B26" s="51">
        <v>43370</v>
      </c>
      <c r="C26" s="28">
        <v>25146</v>
      </c>
      <c r="H26" s="37" t="s">
        <v>27</v>
      </c>
      <c r="I26" s="13">
        <v>31401</v>
      </c>
      <c r="J26" s="8">
        <v>22459</v>
      </c>
      <c r="K26" s="41">
        <v>6666</v>
      </c>
    </row>
    <row r="27" spans="1:11" ht="16.5" thickBot="1">
      <c r="A27" s="1" t="s">
        <v>28</v>
      </c>
      <c r="B27" s="51">
        <v>51375</v>
      </c>
      <c r="C27" s="28">
        <v>49208</v>
      </c>
      <c r="H27" s="37" t="s">
        <v>29</v>
      </c>
      <c r="I27" s="36">
        <v>6</v>
      </c>
      <c r="J27" s="24">
        <v>-434</v>
      </c>
      <c r="K27" s="42">
        <v>2529</v>
      </c>
    </row>
    <row r="28" spans="1:11">
      <c r="A28" s="1" t="s">
        <v>30</v>
      </c>
      <c r="B28" s="51">
        <v>6693</v>
      </c>
      <c r="C28" s="28">
        <v>3341</v>
      </c>
      <c r="H28" s="37" t="s">
        <v>31</v>
      </c>
      <c r="I28" s="13">
        <v>31407</v>
      </c>
      <c r="J28" s="8">
        <v>22025</v>
      </c>
      <c r="K28" s="41">
        <v>9195</v>
      </c>
    </row>
    <row r="29" spans="1:11" ht="16.5" thickBot="1">
      <c r="A29" s="1" t="s">
        <v>32</v>
      </c>
      <c r="B29" s="52">
        <v>13163</v>
      </c>
      <c r="C29" s="29">
        <v>7679</v>
      </c>
      <c r="H29" s="37" t="s">
        <v>33</v>
      </c>
      <c r="I29" s="36">
        <v>35</v>
      </c>
      <c r="J29" s="9">
        <v>45</v>
      </c>
      <c r="K29" s="42">
        <v>36</v>
      </c>
    </row>
    <row r="30" spans="1:11" ht="16.5" thickBot="1">
      <c r="A30" s="4" t="s">
        <v>34</v>
      </c>
      <c r="B30" s="53">
        <v>197205</v>
      </c>
      <c r="C30" s="30">
        <v>181476</v>
      </c>
      <c r="H30" s="37" t="s">
        <v>35</v>
      </c>
      <c r="I30" s="18">
        <v>31372</v>
      </c>
      <c r="J30" s="7">
        <v>21979</v>
      </c>
      <c r="K30" s="43">
        <v>9159</v>
      </c>
    </row>
    <row r="31" spans="1:11" ht="16.5" thickTop="1">
      <c r="B31" s="54"/>
      <c r="C31" s="26"/>
      <c r="H31" s="37"/>
      <c r="I31" s="13"/>
      <c r="J31" s="8"/>
      <c r="K31" s="41"/>
    </row>
    <row r="32" spans="1:11">
      <c r="A32" s="3" t="s">
        <v>36</v>
      </c>
      <c r="B32" s="54"/>
      <c r="C32" s="26"/>
      <c r="H32" s="39" t="s">
        <v>37</v>
      </c>
      <c r="I32" s="13"/>
      <c r="J32" s="8"/>
      <c r="K32" s="41"/>
    </row>
    <row r="33" spans="1:11" ht="31.5">
      <c r="A33" s="2" t="s">
        <v>38</v>
      </c>
      <c r="B33" s="50">
        <v>2945</v>
      </c>
      <c r="C33" s="27">
        <v>2241</v>
      </c>
      <c r="H33" s="38" t="s">
        <v>39</v>
      </c>
      <c r="I33" s="16">
        <v>5.59</v>
      </c>
      <c r="J33" s="5">
        <v>4</v>
      </c>
      <c r="K33" s="44">
        <v>1.19</v>
      </c>
    </row>
    <row r="34" spans="1:11" ht="16.5" thickBot="1">
      <c r="A34" s="1" t="s">
        <v>40</v>
      </c>
      <c r="B34" s="51">
        <v>6809</v>
      </c>
      <c r="C34" s="28">
        <v>5578</v>
      </c>
      <c r="H34" s="38" t="s">
        <v>29</v>
      </c>
      <c r="I34" s="11" t="s">
        <v>41</v>
      </c>
      <c r="J34" s="25">
        <v>-0.08</v>
      </c>
      <c r="K34" s="45">
        <v>0.46</v>
      </c>
    </row>
    <row r="35" spans="1:11" ht="16.5" thickBot="1">
      <c r="A35" s="1" t="s">
        <v>42</v>
      </c>
      <c r="B35" s="51">
        <v>2303</v>
      </c>
      <c r="C35" s="28">
        <v>2249</v>
      </c>
      <c r="H35" s="38" t="s">
        <v>35</v>
      </c>
      <c r="I35" s="19">
        <v>5.59</v>
      </c>
      <c r="J35" s="20">
        <v>3.92</v>
      </c>
      <c r="K35" s="46">
        <v>1.65</v>
      </c>
    </row>
    <row r="36" spans="1:11" ht="16.5" thickTop="1">
      <c r="A36" s="1" t="s">
        <v>43</v>
      </c>
      <c r="B36" s="51">
        <v>1587</v>
      </c>
      <c r="C36" s="28">
        <v>1266</v>
      </c>
      <c r="H36" s="37"/>
      <c r="I36" s="13"/>
      <c r="J36" s="8"/>
      <c r="K36" s="41"/>
    </row>
    <row r="37" spans="1:11">
      <c r="A37" s="1" t="s">
        <v>44</v>
      </c>
      <c r="B37" s="51">
        <v>3407</v>
      </c>
      <c r="C37" s="28">
        <v>3332</v>
      </c>
      <c r="H37" s="39" t="s">
        <v>45</v>
      </c>
      <c r="I37" s="13"/>
      <c r="J37" s="8"/>
      <c r="K37" s="41"/>
    </row>
    <row r="38" spans="1:11">
      <c r="A38" s="1" t="s">
        <v>46</v>
      </c>
      <c r="B38" s="51">
        <v>2520</v>
      </c>
      <c r="C38" s="28">
        <v>3067</v>
      </c>
      <c r="H38" s="38" t="s">
        <v>39</v>
      </c>
      <c r="I38" s="16">
        <v>5.47</v>
      </c>
      <c r="J38" s="21">
        <v>3.93</v>
      </c>
      <c r="K38" s="47">
        <v>1.18</v>
      </c>
    </row>
    <row r="39" spans="1:11" ht="16.5" thickBot="1">
      <c r="A39" s="1" t="s">
        <v>47</v>
      </c>
      <c r="B39" s="52">
        <v>22568</v>
      </c>
      <c r="C39" s="29">
        <v>24939</v>
      </c>
      <c r="H39" s="38" t="s">
        <v>29</v>
      </c>
      <c r="I39" s="11" t="s">
        <v>41</v>
      </c>
      <c r="J39" s="25">
        <v>-0.08</v>
      </c>
      <c r="K39" s="45">
        <v>0.45</v>
      </c>
    </row>
    <row r="40" spans="1:11" ht="16.5" thickBot="1">
      <c r="A40" s="4" t="s">
        <v>48</v>
      </c>
      <c r="B40" s="51">
        <v>42138</v>
      </c>
      <c r="C40" s="28">
        <v>42671</v>
      </c>
      <c r="H40" s="37" t="s">
        <v>35</v>
      </c>
      <c r="I40" s="22">
        <v>5.47</v>
      </c>
      <c r="J40" s="23">
        <v>3.85</v>
      </c>
      <c r="K40" s="48">
        <v>1.63</v>
      </c>
    </row>
    <row r="41" spans="1:11" ht="16.5" thickTop="1">
      <c r="A41" s="1" t="s">
        <v>49</v>
      </c>
      <c r="B41" s="51">
        <v>32884</v>
      </c>
      <c r="C41" s="28">
        <v>36195</v>
      </c>
      <c r="H41" s="37" t="s">
        <v>50</v>
      </c>
      <c r="I41" s="13">
        <v>5608</v>
      </c>
      <c r="J41" s="8">
        <v>5601</v>
      </c>
      <c r="K41" s="41">
        <v>5555</v>
      </c>
    </row>
    <row r="42" spans="1:11" ht="16.5" thickBot="1">
      <c r="A42" s="1" t="s">
        <v>51</v>
      </c>
      <c r="B42" s="51">
        <v>2250</v>
      </c>
      <c r="C42" s="28">
        <v>3724</v>
      </c>
      <c r="H42" s="59" t="s">
        <v>52</v>
      </c>
      <c r="I42" s="15">
        <v>5733</v>
      </c>
      <c r="J42" s="10">
        <v>5708</v>
      </c>
      <c r="K42" s="49">
        <v>5632</v>
      </c>
    </row>
    <row r="43" spans="1:11" ht="16.5" thickTop="1">
      <c r="A43" s="1" t="s">
        <v>53</v>
      </c>
      <c r="B43" s="51">
        <v>1023</v>
      </c>
      <c r="C43" s="26">
        <v>349</v>
      </c>
    </row>
    <row r="44" spans="1:11">
      <c r="A44" s="1" t="s">
        <v>54</v>
      </c>
      <c r="B44" s="51">
        <v>9812</v>
      </c>
      <c r="C44" s="28">
        <v>11331</v>
      </c>
    </row>
    <row r="45" spans="1:11" ht="16.5" thickBot="1">
      <c r="A45" s="1" t="s">
        <v>55</v>
      </c>
      <c r="B45" s="52">
        <v>13180</v>
      </c>
      <c r="C45" s="29">
        <v>9743</v>
      </c>
    </row>
    <row r="46" spans="1:11" ht="16.5" thickBot="1">
      <c r="A46" s="4" t="s">
        <v>56</v>
      </c>
      <c r="B46" s="53">
        <v>101288</v>
      </c>
      <c r="C46" s="30">
        <v>104013</v>
      </c>
    </row>
    <row r="47" spans="1:11" ht="16.5" thickTop="1">
      <c r="B47" s="54"/>
      <c r="C47" s="26"/>
    </row>
    <row r="48" spans="1:11">
      <c r="A48" s="3" t="s">
        <v>57</v>
      </c>
      <c r="B48" s="54"/>
      <c r="C48" s="26"/>
    </row>
    <row r="49" spans="1:3" ht="47.25">
      <c r="A49" s="2" t="s">
        <v>58</v>
      </c>
      <c r="B49" s="54" t="s">
        <v>41</v>
      </c>
      <c r="C49" s="26" t="s">
        <v>41</v>
      </c>
    </row>
    <row r="50" spans="1:3" ht="31.5">
      <c r="A50" s="2" t="s">
        <v>59</v>
      </c>
      <c r="B50" s="54">
        <v>476</v>
      </c>
      <c r="C50" s="26">
        <v>473</v>
      </c>
    </row>
    <row r="51" spans="1:3">
      <c r="A51" s="1" t="s">
        <v>60</v>
      </c>
      <c r="B51" s="51">
        <v>91802</v>
      </c>
      <c r="C51" s="28">
        <v>90591</v>
      </c>
    </row>
    <row r="52" spans="1:3">
      <c r="A52" s="1" t="s">
        <v>61</v>
      </c>
      <c r="B52" s="55">
        <v>-113969</v>
      </c>
      <c r="C52" s="31">
        <v>-111361</v>
      </c>
    </row>
    <row r="53" spans="1:3">
      <c r="A53" s="1" t="s">
        <v>62</v>
      </c>
      <c r="B53" s="51">
        <v>125656</v>
      </c>
      <c r="C53" s="28">
        <v>103394</v>
      </c>
    </row>
    <row r="54" spans="1:3" ht="16.5" thickBot="1">
      <c r="A54" s="1" t="s">
        <v>63</v>
      </c>
      <c r="B54" s="56">
        <v>-8304</v>
      </c>
      <c r="C54" s="32">
        <v>-5897</v>
      </c>
    </row>
    <row r="55" spans="1:3">
      <c r="A55" s="4" t="s">
        <v>64</v>
      </c>
      <c r="B55" s="51">
        <v>95661</v>
      </c>
      <c r="C55" s="28">
        <v>77201</v>
      </c>
    </row>
    <row r="56" spans="1:3" ht="16.5" thickBot="1">
      <c r="A56" s="1" t="s">
        <v>65</v>
      </c>
      <c r="B56" s="57">
        <v>256</v>
      </c>
      <c r="C56" s="33">
        <v>262</v>
      </c>
    </row>
    <row r="57" spans="1:3" ht="16.5" thickBot="1">
      <c r="A57" s="4" t="s">
        <v>66</v>
      </c>
      <c r="B57" s="58">
        <v>95916</v>
      </c>
      <c r="C57" s="34">
        <v>77462</v>
      </c>
    </row>
    <row r="58" spans="1:3" ht="16.5" thickBot="1">
      <c r="A58" s="83" t="s">
        <v>67</v>
      </c>
      <c r="B58" s="53">
        <v>197205</v>
      </c>
      <c r="C58" s="30">
        <v>181476</v>
      </c>
    </row>
    <row r="59" spans="1:3" ht="16.5" thickTop="1"/>
  </sheetData>
  <mergeCells count="4">
    <mergeCell ref="A12:C12"/>
    <mergeCell ref="B13:C13"/>
    <mergeCell ref="I13:K13"/>
    <mergeCell ref="H12:K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40CE-F7A9-4975-86A4-47278433FE98}">
  <dimension ref="A1:N44"/>
  <sheetViews>
    <sheetView topLeftCell="A2" workbookViewId="0">
      <selection activeCell="C11" sqref="C11"/>
    </sheetView>
  </sheetViews>
  <sheetFormatPr defaultRowHeight="15"/>
  <cols>
    <col min="1" max="1" width="100.7109375" customWidth="1"/>
    <col min="2" max="4" width="12.85546875" customWidth="1"/>
  </cols>
  <sheetData>
    <row r="1" spans="1:14" ht="18.75">
      <c r="A1" s="189" t="s">
        <v>68</v>
      </c>
      <c r="B1" s="189"/>
      <c r="C1" s="189"/>
      <c r="D1" s="189"/>
      <c r="E1" s="107"/>
      <c r="F1" s="107"/>
      <c r="G1" s="107"/>
      <c r="H1" s="107"/>
      <c r="I1" s="107"/>
      <c r="J1" s="107"/>
      <c r="K1" s="107"/>
      <c r="L1" s="107"/>
      <c r="M1" s="107"/>
      <c r="N1" s="107"/>
    </row>
    <row r="2" spans="1:14" ht="15" customHeight="1">
      <c r="A2" s="107" t="s">
        <v>69</v>
      </c>
      <c r="B2" s="190" t="s">
        <v>3</v>
      </c>
      <c r="C2" s="190"/>
      <c r="D2" s="191"/>
      <c r="E2" s="111"/>
      <c r="F2" s="107"/>
      <c r="G2" s="107"/>
      <c r="H2" s="107"/>
      <c r="I2" s="107"/>
      <c r="J2" s="107"/>
      <c r="K2" s="107"/>
      <c r="L2" s="107"/>
      <c r="M2" s="107"/>
      <c r="N2" s="107"/>
    </row>
    <row r="3" spans="1:14" ht="15.75">
      <c r="A3" s="107"/>
      <c r="B3" s="108">
        <v>2022</v>
      </c>
      <c r="C3" s="107">
        <v>2021</v>
      </c>
      <c r="D3" s="112">
        <v>2020</v>
      </c>
      <c r="E3" s="107"/>
      <c r="F3" s="107"/>
      <c r="G3" s="107"/>
      <c r="H3" s="107"/>
      <c r="I3" s="107"/>
      <c r="J3" s="107"/>
      <c r="K3" s="107"/>
      <c r="L3" s="107"/>
      <c r="M3" s="107"/>
      <c r="N3" s="107"/>
    </row>
    <row r="4" spans="1:14" ht="15.75">
      <c r="A4" s="108" t="s">
        <v>70</v>
      </c>
      <c r="B4" s="107"/>
      <c r="C4" s="107"/>
      <c r="D4" s="112" t="s">
        <v>71</v>
      </c>
      <c r="E4" s="107"/>
      <c r="F4" s="107"/>
      <c r="G4" s="107"/>
      <c r="H4" s="107"/>
      <c r="I4" s="107"/>
      <c r="J4" s="107"/>
      <c r="K4" s="107"/>
      <c r="L4" s="107"/>
      <c r="M4" s="107"/>
      <c r="N4" s="107"/>
    </row>
    <row r="5" spans="1:14" ht="15.75">
      <c r="A5" s="107" t="s">
        <v>31</v>
      </c>
      <c r="B5" s="140">
        <v>31401</v>
      </c>
      <c r="C5" s="141">
        <v>22025</v>
      </c>
      <c r="D5" s="142">
        <v>9195</v>
      </c>
      <c r="E5" s="107"/>
      <c r="F5" s="107"/>
      <c r="G5" s="107"/>
      <c r="H5" s="107"/>
      <c r="I5" s="107"/>
      <c r="J5" s="107"/>
      <c r="K5" s="107"/>
      <c r="L5" s="107"/>
      <c r="M5" s="107"/>
      <c r="N5" s="107"/>
    </row>
    <row r="6" spans="1:14" ht="46.5">
      <c r="A6" s="107" t="s">
        <v>72</v>
      </c>
      <c r="B6" s="116" t="s">
        <v>71</v>
      </c>
      <c r="C6" s="117"/>
      <c r="D6" s="118" t="s">
        <v>71</v>
      </c>
      <c r="E6" s="107"/>
      <c r="F6" s="107"/>
      <c r="G6" s="107"/>
      <c r="H6" s="107"/>
      <c r="I6" s="107"/>
      <c r="J6" s="107"/>
      <c r="K6" s="107"/>
      <c r="L6" s="107"/>
      <c r="M6" s="107"/>
      <c r="N6" s="107"/>
    </row>
    <row r="7" spans="1:14" s="114" customFormat="1" ht="15.75">
      <c r="A7" s="113" t="s">
        <v>73</v>
      </c>
      <c r="B7" s="122">
        <v>5064</v>
      </c>
      <c r="C7" s="123">
        <v>5191</v>
      </c>
      <c r="D7" s="124">
        <v>4681</v>
      </c>
      <c r="E7" s="113"/>
      <c r="F7" s="113"/>
      <c r="G7" s="113"/>
      <c r="H7" s="113"/>
      <c r="I7" s="113"/>
      <c r="J7" s="113"/>
      <c r="K7" s="113"/>
      <c r="L7" s="113"/>
      <c r="M7" s="113"/>
      <c r="N7" s="113"/>
    </row>
    <row r="8" spans="1:14" s="114" customFormat="1" ht="15.75">
      <c r="A8" s="113" t="s">
        <v>74</v>
      </c>
      <c r="B8" s="119">
        <v>-3764</v>
      </c>
      <c r="C8" s="120">
        <v>-4293</v>
      </c>
      <c r="D8" s="121">
        <v>-1575</v>
      </c>
      <c r="E8" s="113"/>
      <c r="F8" s="113"/>
      <c r="G8" s="113"/>
      <c r="H8" s="113"/>
      <c r="I8" s="113"/>
      <c r="J8" s="113"/>
      <c r="K8" s="113"/>
      <c r="L8" s="113"/>
      <c r="M8" s="113"/>
      <c r="N8" s="113"/>
    </row>
    <row r="9" spans="1:14" s="114" customFormat="1" ht="15.75">
      <c r="A9" s="113" t="s">
        <v>75</v>
      </c>
      <c r="B9" s="122">
        <v>1022</v>
      </c>
      <c r="C9" s="120">
        <v>-3147</v>
      </c>
      <c r="D9" s="124">
        <v>2409</v>
      </c>
      <c r="E9" s="113"/>
      <c r="F9" s="113"/>
      <c r="G9" s="113"/>
      <c r="H9" s="113"/>
      <c r="I9" s="113"/>
      <c r="J9" s="113"/>
      <c r="K9" s="113"/>
      <c r="L9" s="113"/>
      <c r="M9" s="113"/>
      <c r="N9" s="113"/>
    </row>
    <row r="10" spans="1:14" ht="30.75">
      <c r="A10" s="107" t="s">
        <v>76</v>
      </c>
      <c r="B10" s="116" t="s">
        <v>71</v>
      </c>
      <c r="C10" s="117"/>
      <c r="D10" s="118" t="s">
        <v>71</v>
      </c>
      <c r="E10" s="107"/>
      <c r="F10" s="107"/>
      <c r="G10" s="107"/>
      <c r="H10" s="107"/>
      <c r="I10" s="107"/>
      <c r="J10" s="107"/>
      <c r="K10" s="107"/>
      <c r="L10" s="107"/>
      <c r="M10" s="107"/>
      <c r="N10" s="107"/>
    </row>
    <row r="11" spans="1:14" s="114" customFormat="1" ht="15.75">
      <c r="A11" s="113" t="s">
        <v>77</v>
      </c>
      <c r="B11" s="116">
        <v>261</v>
      </c>
      <c r="C11" s="120">
        <v>-3811</v>
      </c>
      <c r="D11" s="121">
        <v>-1275</v>
      </c>
      <c r="E11" s="113"/>
      <c r="F11" s="113"/>
      <c r="G11" s="113"/>
      <c r="H11" s="113"/>
      <c r="I11" s="113"/>
      <c r="J11" s="113"/>
      <c r="K11" s="113"/>
      <c r="L11" s="113"/>
      <c r="M11" s="113"/>
      <c r="N11" s="113"/>
    </row>
    <row r="12" spans="1:14" s="114" customFormat="1" ht="15.75">
      <c r="A12" s="113" t="s">
        <v>12</v>
      </c>
      <c r="B12" s="116">
        <v>592</v>
      </c>
      <c r="C12" s="120">
        <v>-1125</v>
      </c>
      <c r="D12" s="121">
        <v>-778</v>
      </c>
      <c r="E12" s="113"/>
      <c r="F12" s="113"/>
      <c r="G12" s="113"/>
      <c r="H12" s="113"/>
      <c r="I12" s="113"/>
      <c r="J12" s="113"/>
      <c r="K12" s="113"/>
      <c r="L12" s="113"/>
      <c r="M12" s="113"/>
      <c r="N12" s="113"/>
    </row>
    <row r="13" spans="1:14" s="114" customFormat="1" ht="15.75">
      <c r="A13" s="115" t="s">
        <v>78</v>
      </c>
      <c r="B13" s="122">
        <v>-6500</v>
      </c>
      <c r="C13" s="123">
        <v>16498</v>
      </c>
      <c r="D13" s="124">
        <v>1391</v>
      </c>
      <c r="E13" s="113"/>
      <c r="F13" s="113"/>
      <c r="G13" s="113"/>
      <c r="H13" s="113"/>
      <c r="I13" s="113"/>
      <c r="J13" s="113"/>
      <c r="K13" s="113"/>
      <c r="L13" s="113"/>
      <c r="M13" s="113"/>
      <c r="N13" s="113"/>
    </row>
    <row r="14" spans="1:14" s="114" customFormat="1" ht="15.75">
      <c r="A14" s="113" t="s">
        <v>40</v>
      </c>
      <c r="B14" s="122">
        <v>1191</v>
      </c>
      <c r="C14" s="123">
        <v>1242</v>
      </c>
      <c r="D14" s="118">
        <v>355</v>
      </c>
      <c r="E14" s="113"/>
      <c r="F14" s="113"/>
      <c r="G14" s="113"/>
      <c r="H14" s="113"/>
      <c r="I14" s="113"/>
      <c r="J14" s="113"/>
      <c r="K14" s="113"/>
      <c r="L14" s="113"/>
      <c r="M14" s="113"/>
      <c r="N14" s="113"/>
    </row>
    <row r="15" spans="1:14" ht="15.75">
      <c r="A15" s="107" t="s">
        <v>79</v>
      </c>
      <c r="B15" s="143">
        <v>29267</v>
      </c>
      <c r="C15" s="144">
        <v>32580</v>
      </c>
      <c r="D15" s="145">
        <v>14403</v>
      </c>
      <c r="E15" s="107"/>
      <c r="F15" s="107"/>
      <c r="G15" s="107"/>
      <c r="H15" s="107"/>
      <c r="I15" s="107"/>
      <c r="J15" s="107"/>
      <c r="K15" s="107"/>
      <c r="L15" s="107"/>
      <c r="M15" s="107"/>
      <c r="N15" s="107"/>
    </row>
    <row r="16" spans="1:14" ht="15.75">
      <c r="A16" s="107"/>
      <c r="B16" s="116" t="s">
        <v>71</v>
      </c>
      <c r="C16" s="117"/>
      <c r="D16" s="118" t="s">
        <v>71</v>
      </c>
      <c r="E16" s="107"/>
      <c r="F16" s="107"/>
      <c r="G16" s="107"/>
      <c r="H16" s="107"/>
      <c r="I16" s="107"/>
      <c r="J16" s="107"/>
      <c r="K16" s="107"/>
      <c r="L16" s="107"/>
      <c r="M16" s="107"/>
      <c r="N16" s="107"/>
    </row>
    <row r="17" spans="1:14" ht="15" customHeight="1">
      <c r="A17" s="108" t="s">
        <v>80</v>
      </c>
      <c r="B17" s="116" t="s">
        <v>71</v>
      </c>
      <c r="C17" s="117"/>
      <c r="D17" s="118" t="s">
        <v>71</v>
      </c>
      <c r="E17" s="107"/>
      <c r="F17" s="107"/>
      <c r="G17" s="107"/>
      <c r="H17" s="107"/>
      <c r="I17" s="107"/>
      <c r="J17" s="107"/>
      <c r="K17" s="107"/>
      <c r="L17" s="107"/>
      <c r="M17" s="107"/>
      <c r="N17" s="107"/>
    </row>
    <row r="18" spans="1:14" ht="15.75">
      <c r="A18" s="107" t="s">
        <v>81</v>
      </c>
      <c r="B18" s="119">
        <v>-3236</v>
      </c>
      <c r="C18" s="120">
        <v>-2711</v>
      </c>
      <c r="D18" s="121">
        <v>-2226</v>
      </c>
      <c r="E18" s="107"/>
      <c r="F18" s="107"/>
      <c r="G18" s="107"/>
      <c r="H18" s="107"/>
      <c r="I18" s="107"/>
      <c r="J18" s="107"/>
      <c r="K18" s="107"/>
      <c r="L18" s="107"/>
      <c r="M18" s="107"/>
      <c r="N18" s="107"/>
    </row>
    <row r="19" spans="1:14" ht="15.75">
      <c r="A19" s="107" t="s">
        <v>82</v>
      </c>
      <c r="B19" s="119">
        <v>-36384</v>
      </c>
      <c r="C19" s="120">
        <v>-38457</v>
      </c>
      <c r="D19" s="121">
        <v>-13805</v>
      </c>
      <c r="E19" s="107"/>
      <c r="F19" s="107"/>
      <c r="G19" s="107"/>
      <c r="H19" s="107"/>
      <c r="I19" s="107"/>
      <c r="J19" s="107"/>
      <c r="K19" s="107"/>
      <c r="L19" s="107"/>
      <c r="M19" s="107"/>
      <c r="N19" s="107"/>
    </row>
    <row r="20" spans="1:14" ht="15.75">
      <c r="A20" s="107" t="s">
        <v>83</v>
      </c>
      <c r="B20" s="122">
        <v>44821</v>
      </c>
      <c r="C20" s="123">
        <v>27447</v>
      </c>
      <c r="D20" s="124">
        <v>11087</v>
      </c>
      <c r="E20" s="107"/>
      <c r="F20" s="107"/>
      <c r="G20" s="107"/>
      <c r="H20" s="107"/>
      <c r="I20" s="107"/>
      <c r="J20" s="107"/>
      <c r="K20" s="107"/>
      <c r="L20" s="107"/>
      <c r="M20" s="107"/>
      <c r="N20" s="107"/>
    </row>
    <row r="21" spans="1:14" ht="46.5">
      <c r="A21" s="107" t="s">
        <v>84</v>
      </c>
      <c r="B21" s="119">
        <v>-483</v>
      </c>
      <c r="C21" s="120">
        <v>-8088</v>
      </c>
      <c r="D21" s="118">
        <v>920</v>
      </c>
      <c r="E21" s="107"/>
      <c r="F21" s="107"/>
      <c r="G21" s="107"/>
      <c r="H21" s="107"/>
      <c r="I21" s="107"/>
      <c r="J21" s="107"/>
      <c r="K21" s="107"/>
      <c r="L21" s="107"/>
      <c r="M21" s="107"/>
      <c r="N21" s="107"/>
    </row>
    <row r="22" spans="1:14" ht="15.75">
      <c r="A22" s="107" t="s">
        <v>85</v>
      </c>
      <c r="B22" s="119">
        <v>-1913</v>
      </c>
      <c r="C22" s="120">
        <v>-1068</v>
      </c>
      <c r="D22" s="121">
        <v>-597</v>
      </c>
      <c r="E22" s="107"/>
      <c r="F22" s="107"/>
      <c r="G22" s="107"/>
      <c r="H22" s="107"/>
      <c r="I22" s="107"/>
      <c r="J22" s="107"/>
      <c r="K22" s="107"/>
      <c r="L22" s="107"/>
      <c r="M22" s="107"/>
      <c r="N22" s="107"/>
    </row>
    <row r="23" spans="1:14" ht="15.75">
      <c r="A23" s="107" t="s">
        <v>86</v>
      </c>
      <c r="B23" s="116">
        <v>641</v>
      </c>
      <c r="C23" s="117">
        <v>649</v>
      </c>
      <c r="D23" s="118">
        <v>723</v>
      </c>
      <c r="E23" s="107"/>
      <c r="F23" s="107"/>
      <c r="G23" s="107"/>
      <c r="H23" s="107"/>
      <c r="I23" s="107"/>
      <c r="J23" s="107"/>
      <c r="K23" s="107"/>
      <c r="L23" s="107"/>
      <c r="M23" s="107"/>
      <c r="N23" s="107"/>
    </row>
    <row r="24" spans="1:14" ht="15.75">
      <c r="A24" s="107" t="s">
        <v>87</v>
      </c>
      <c r="B24" s="119">
        <v>-22997</v>
      </c>
      <c r="C24" s="117" t="s">
        <v>41</v>
      </c>
      <c r="D24" s="118" t="s">
        <v>41</v>
      </c>
      <c r="E24" s="107"/>
      <c r="F24" s="107"/>
      <c r="G24" s="107"/>
      <c r="H24" s="107"/>
      <c r="I24" s="107"/>
      <c r="J24" s="107"/>
      <c r="K24" s="107"/>
      <c r="L24" s="107"/>
      <c r="M24" s="107"/>
      <c r="N24" s="107"/>
    </row>
    <row r="25" spans="1:14" ht="15.75">
      <c r="A25" s="107" t="s">
        <v>88</v>
      </c>
      <c r="B25" s="122">
        <v>3960</v>
      </c>
      <c r="C25" s="117" t="s">
        <v>41</v>
      </c>
      <c r="D25" s="118" t="s">
        <v>41</v>
      </c>
      <c r="E25" s="107"/>
      <c r="F25" s="107"/>
      <c r="G25" s="107"/>
      <c r="H25" s="107"/>
      <c r="I25" s="107"/>
      <c r="J25" s="107"/>
      <c r="K25" s="107"/>
      <c r="L25" s="107"/>
      <c r="M25" s="107"/>
      <c r="N25" s="107"/>
    </row>
    <row r="26" spans="1:14" ht="15.75">
      <c r="A26" s="107" t="s">
        <v>89</v>
      </c>
      <c r="B26" s="125">
        <v>-192</v>
      </c>
      <c r="C26" s="126">
        <v>-317</v>
      </c>
      <c r="D26" s="127">
        <v>-374</v>
      </c>
      <c r="E26" s="107"/>
      <c r="F26" s="107"/>
      <c r="G26" s="107"/>
      <c r="H26" s="107"/>
      <c r="I26" s="107"/>
      <c r="J26" s="107"/>
      <c r="K26" s="107"/>
      <c r="L26" s="107"/>
      <c r="M26" s="107"/>
      <c r="N26" s="107"/>
    </row>
    <row r="27" spans="1:14" ht="15.75">
      <c r="A27" s="107" t="s">
        <v>90</v>
      </c>
      <c r="B27" s="146">
        <v>-15783</v>
      </c>
      <c r="C27" s="147">
        <v>-22546</v>
      </c>
      <c r="D27" s="148">
        <v>-4271</v>
      </c>
      <c r="E27" s="107"/>
      <c r="F27" s="107"/>
      <c r="G27" s="107"/>
      <c r="H27" s="107"/>
      <c r="I27" s="107"/>
      <c r="J27" s="107"/>
      <c r="K27" s="107"/>
      <c r="L27" s="107"/>
      <c r="M27" s="107"/>
      <c r="N27" s="107"/>
    </row>
    <row r="28" spans="1:14" ht="15.75">
      <c r="A28" s="107"/>
      <c r="B28" s="116" t="s">
        <v>71</v>
      </c>
      <c r="C28" s="117"/>
      <c r="D28" s="118" t="s">
        <v>71</v>
      </c>
      <c r="E28" s="111"/>
      <c r="F28" s="107"/>
      <c r="G28" s="107"/>
      <c r="H28" s="107"/>
      <c r="I28" s="107"/>
      <c r="J28" s="107"/>
      <c r="K28" s="107"/>
      <c r="L28" s="107"/>
      <c r="M28" s="107"/>
      <c r="N28" s="107"/>
    </row>
    <row r="29" spans="1:14" ht="15.75">
      <c r="A29" s="108" t="s">
        <v>91</v>
      </c>
      <c r="B29" s="116" t="s">
        <v>71</v>
      </c>
      <c r="C29" s="117"/>
      <c r="D29" s="118" t="s">
        <v>71</v>
      </c>
      <c r="E29" s="107"/>
      <c r="F29" s="107"/>
      <c r="G29" s="107"/>
      <c r="H29" s="107"/>
      <c r="I29" s="107"/>
      <c r="J29" s="107"/>
      <c r="K29" s="107"/>
      <c r="L29" s="107"/>
      <c r="M29" s="107"/>
      <c r="N29" s="107"/>
    </row>
    <row r="30" spans="1:14" ht="15.75">
      <c r="A30" s="107" t="s">
        <v>92</v>
      </c>
      <c r="B30" s="119">
        <v>3891</v>
      </c>
      <c r="C30" s="120" t="s">
        <v>41</v>
      </c>
      <c r="D30" s="121">
        <v>12352</v>
      </c>
      <c r="E30" s="107"/>
      <c r="F30" s="107"/>
      <c r="G30" s="107"/>
      <c r="H30" s="107"/>
      <c r="I30" s="107"/>
      <c r="J30" s="107"/>
      <c r="K30" s="107"/>
      <c r="L30" s="107"/>
      <c r="M30" s="107"/>
      <c r="N30" s="107"/>
    </row>
    <row r="31" spans="1:14" ht="15.75">
      <c r="A31" s="107" t="s">
        <v>93</v>
      </c>
      <c r="B31" s="119">
        <v>-3887</v>
      </c>
      <c r="C31" s="120" t="s">
        <v>41</v>
      </c>
      <c r="D31" s="121">
        <v>-22197</v>
      </c>
      <c r="E31" s="107"/>
      <c r="F31" s="107"/>
      <c r="G31" s="107"/>
      <c r="H31" s="107"/>
      <c r="I31" s="107"/>
      <c r="J31" s="107"/>
      <c r="K31" s="107"/>
      <c r="L31" s="107"/>
      <c r="M31" s="107"/>
      <c r="N31" s="107"/>
    </row>
    <row r="32" spans="1:14" ht="30.75">
      <c r="A32" s="107" t="s">
        <v>94</v>
      </c>
      <c r="B32" s="119">
        <v>-222</v>
      </c>
      <c r="C32" s="120">
        <v>-96</v>
      </c>
      <c r="D32" s="121">
        <v>-4129</v>
      </c>
      <c r="E32" s="107"/>
      <c r="F32" s="107"/>
      <c r="G32" s="107"/>
      <c r="H32" s="107"/>
      <c r="I32" s="107"/>
      <c r="J32" s="107"/>
      <c r="K32" s="107"/>
      <c r="L32" s="107"/>
      <c r="M32" s="107"/>
      <c r="N32" s="107"/>
    </row>
    <row r="33" spans="1:14" ht="15.75">
      <c r="A33" s="107" t="s">
        <v>95</v>
      </c>
      <c r="B33" s="119" t="s">
        <v>41</v>
      </c>
      <c r="C33" s="120">
        <v>997</v>
      </c>
      <c r="D33" s="121">
        <v>5222</v>
      </c>
      <c r="E33" s="107"/>
      <c r="F33" s="107"/>
      <c r="G33" s="107"/>
      <c r="H33" s="107"/>
      <c r="I33" s="107"/>
      <c r="J33" s="107"/>
      <c r="K33" s="107"/>
      <c r="L33" s="107"/>
      <c r="M33" s="107"/>
      <c r="N33" s="107"/>
    </row>
    <row r="34" spans="1:14" ht="15.75">
      <c r="A34" s="107" t="s">
        <v>96</v>
      </c>
      <c r="B34" s="119">
        <v>-3298</v>
      </c>
      <c r="C34" s="120">
        <v>-2004</v>
      </c>
      <c r="D34" s="121">
        <v>-4003</v>
      </c>
      <c r="E34" s="107"/>
      <c r="F34" s="107"/>
      <c r="G34" s="107"/>
      <c r="H34" s="107"/>
      <c r="I34" s="107"/>
      <c r="J34" s="107"/>
      <c r="K34" s="107"/>
      <c r="L34" s="107"/>
      <c r="M34" s="107"/>
      <c r="N34" s="107"/>
    </row>
    <row r="35" spans="1:14" ht="15.75">
      <c r="A35" s="107" t="s">
        <v>97</v>
      </c>
      <c r="B35" s="119">
        <v>-2000</v>
      </c>
      <c r="C35" s="120" t="s">
        <v>41</v>
      </c>
      <c r="D35" s="121" t="s">
        <v>41</v>
      </c>
      <c r="E35" s="107"/>
      <c r="F35" s="107"/>
      <c r="G35" s="107"/>
      <c r="H35" s="107"/>
      <c r="I35" s="107"/>
      <c r="J35" s="107"/>
      <c r="K35" s="107"/>
      <c r="L35" s="107"/>
      <c r="M35" s="107"/>
      <c r="N35" s="107"/>
    </row>
    <row r="36" spans="1:14" ht="15.75">
      <c r="A36" s="107" t="s">
        <v>98</v>
      </c>
      <c r="B36" s="119">
        <v>-8983</v>
      </c>
      <c r="C36" s="120">
        <v>-8729</v>
      </c>
      <c r="D36" s="121">
        <v>-8440</v>
      </c>
      <c r="E36" s="107"/>
      <c r="F36" s="107"/>
      <c r="G36" s="107"/>
      <c r="H36" s="107"/>
      <c r="I36" s="107"/>
      <c r="J36" s="107"/>
      <c r="K36" s="107"/>
      <c r="L36" s="107"/>
      <c r="M36" s="107"/>
      <c r="N36" s="107"/>
    </row>
    <row r="37" spans="1:14" ht="15.75">
      <c r="A37" s="107" t="s">
        <v>99</v>
      </c>
      <c r="B37" s="125">
        <v>-335</v>
      </c>
      <c r="C37" s="126">
        <v>16</v>
      </c>
      <c r="D37" s="127">
        <v>-444</v>
      </c>
      <c r="E37" s="107"/>
      <c r="F37" s="107"/>
      <c r="G37" s="107"/>
      <c r="H37" s="107"/>
      <c r="I37" s="107"/>
      <c r="J37" s="107"/>
      <c r="K37" s="107"/>
      <c r="L37" s="107"/>
      <c r="M37" s="107"/>
      <c r="N37" s="107"/>
    </row>
    <row r="38" spans="1:14" ht="15.75">
      <c r="A38" s="113" t="s">
        <v>100</v>
      </c>
      <c r="B38" s="149">
        <v>-14834</v>
      </c>
      <c r="C38" s="150">
        <v>-9816</v>
      </c>
      <c r="D38" s="151">
        <v>-21640</v>
      </c>
      <c r="E38" s="107"/>
      <c r="F38" s="107"/>
      <c r="G38" s="107"/>
      <c r="H38" s="107"/>
      <c r="I38" s="107"/>
      <c r="J38" s="107"/>
      <c r="K38" s="107"/>
      <c r="L38" s="107"/>
      <c r="M38" s="107"/>
      <c r="N38" s="107"/>
    </row>
    <row r="39" spans="1:14" ht="30.75">
      <c r="A39" s="113" t="s">
        <v>101</v>
      </c>
      <c r="B39" s="125" t="s">
        <v>41</v>
      </c>
      <c r="C39" s="126" t="s">
        <v>41</v>
      </c>
      <c r="D39" s="127">
        <v>11991</v>
      </c>
      <c r="E39" s="107"/>
      <c r="F39" s="107"/>
      <c r="G39" s="107"/>
      <c r="H39" s="107"/>
      <c r="I39" s="107"/>
      <c r="J39" s="107"/>
      <c r="K39" s="107"/>
      <c r="L39" s="107"/>
      <c r="M39" s="107"/>
      <c r="N39" s="107"/>
    </row>
    <row r="40" spans="1:14" ht="15.75">
      <c r="A40" s="110" t="s">
        <v>102</v>
      </c>
      <c r="B40" s="128">
        <v>-14834</v>
      </c>
      <c r="C40" s="129">
        <v>-9816</v>
      </c>
      <c r="D40" s="130">
        <v>-9649</v>
      </c>
      <c r="E40" s="107"/>
      <c r="F40" s="107"/>
      <c r="G40" s="107"/>
      <c r="H40" s="107"/>
      <c r="I40" s="107"/>
      <c r="J40" s="107"/>
      <c r="K40" s="107"/>
      <c r="L40" s="107"/>
      <c r="M40" s="107"/>
      <c r="N40" s="107"/>
    </row>
    <row r="41" spans="1:14" ht="15.75">
      <c r="A41" s="107"/>
      <c r="B41" s="107"/>
      <c r="C41" s="107"/>
      <c r="D41" s="107"/>
      <c r="E41" s="107"/>
      <c r="F41" s="107"/>
      <c r="G41" s="107"/>
      <c r="H41" s="107"/>
      <c r="I41" s="107"/>
      <c r="J41" s="107"/>
      <c r="K41" s="107"/>
      <c r="L41" s="107"/>
      <c r="M41" s="107"/>
      <c r="N41" s="107"/>
    </row>
    <row r="42" spans="1:14" ht="15.75">
      <c r="A42" s="107"/>
      <c r="B42" s="107"/>
      <c r="C42" s="107"/>
      <c r="D42" s="107"/>
      <c r="E42" s="107"/>
      <c r="F42" s="107"/>
      <c r="G42" s="107"/>
      <c r="H42" s="107"/>
      <c r="I42" s="107"/>
      <c r="J42" s="107"/>
      <c r="K42" s="107"/>
      <c r="L42" s="107"/>
      <c r="M42" s="107"/>
      <c r="N42" s="107"/>
    </row>
    <row r="43" spans="1:14" ht="15.75">
      <c r="A43" s="107"/>
      <c r="B43" s="107"/>
      <c r="C43" s="107"/>
      <c r="D43" s="107"/>
      <c r="E43" s="107"/>
      <c r="F43" s="107"/>
      <c r="G43" s="107"/>
      <c r="H43" s="107"/>
      <c r="I43" s="107"/>
      <c r="J43" s="107"/>
      <c r="K43" s="107"/>
      <c r="L43" s="107"/>
      <c r="M43" s="107"/>
      <c r="N43" s="107"/>
    </row>
    <row r="44" spans="1:14" ht="15.75">
      <c r="A44" s="107"/>
      <c r="B44" s="107"/>
      <c r="C44" s="107"/>
      <c r="D44" s="107"/>
      <c r="E44" s="107"/>
      <c r="F44" s="107"/>
      <c r="G44" s="107"/>
      <c r="H44" s="107"/>
      <c r="I44" s="107"/>
      <c r="J44" s="107"/>
      <c r="K44" s="107"/>
      <c r="L44" s="107"/>
      <c r="M44" s="107"/>
      <c r="N44" s="107"/>
    </row>
  </sheetData>
  <mergeCells count="2">
    <mergeCell ref="A1:D1"/>
    <mergeCell ref="B2:D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6C23-3F10-40CF-A562-F4DA137F492F}">
  <dimension ref="A1:O53"/>
  <sheetViews>
    <sheetView workbookViewId="0">
      <selection activeCell="Q20" sqref="Q20"/>
    </sheetView>
  </sheetViews>
  <sheetFormatPr defaultRowHeight="15"/>
  <cols>
    <col min="1" max="1" width="60.42578125" bestFit="1" customWidth="1"/>
    <col min="2" max="3" width="13.85546875" bestFit="1" customWidth="1"/>
    <col min="4" max="4" width="14" customWidth="1"/>
    <col min="5" max="5" width="24.42578125" bestFit="1" customWidth="1"/>
    <col min="6" max="6" width="45.140625" bestFit="1" customWidth="1"/>
    <col min="7" max="7" width="13.140625" bestFit="1" customWidth="1"/>
    <col min="8" max="8" width="10.7109375" bestFit="1" customWidth="1"/>
    <col min="13" max="13" width="24.140625" bestFit="1" customWidth="1"/>
    <col min="14" max="14" width="10.140625" bestFit="1" customWidth="1"/>
  </cols>
  <sheetData>
    <row r="1" spans="1:15" ht="32.25">
      <c r="A1" s="185" t="s">
        <v>103</v>
      </c>
      <c r="B1" s="185"/>
      <c r="C1" s="186"/>
      <c r="E1" s="86" t="s">
        <v>104</v>
      </c>
      <c r="F1" s="87">
        <v>2022</v>
      </c>
      <c r="G1" s="87">
        <v>2021</v>
      </c>
    </row>
    <row r="2" spans="1:15" ht="15.75">
      <c r="A2" s="1" t="s">
        <v>2</v>
      </c>
      <c r="B2" s="187" t="s">
        <v>3</v>
      </c>
      <c r="C2" s="192"/>
      <c r="E2" s="88" t="str">
        <f>A5</f>
        <v>Current Assets</v>
      </c>
      <c r="F2" s="71" cm="1">
        <f t="array" ref="F2:G2">B12:C12</f>
        <v>51259</v>
      </c>
      <c r="G2" s="69">
        <v>59693</v>
      </c>
    </row>
    <row r="3" spans="1:15" ht="15.75">
      <c r="A3" s="1"/>
      <c r="B3" s="63">
        <v>2022</v>
      </c>
      <c r="C3" s="102">
        <v>2021</v>
      </c>
      <c r="E3" s="88" t="str">
        <f>A25</f>
        <v>Current Liabilities</v>
      </c>
      <c r="F3" s="65" cm="1">
        <f t="array" ref="F3:G3">B33:C33</f>
        <v>42138</v>
      </c>
      <c r="G3" s="73">
        <v>42671</v>
      </c>
    </row>
    <row r="4" spans="1:15" ht="15.75">
      <c r="A4" s="3" t="s">
        <v>4</v>
      </c>
      <c r="B4" s="1"/>
      <c r="C4" s="68"/>
      <c r="E4" s="88" t="str">
        <f>A9</f>
        <v>Inventories</v>
      </c>
      <c r="F4" s="65" cm="1">
        <f t="array" ref="F4:G4">B9:C9</f>
        <v>8981</v>
      </c>
      <c r="G4" s="73">
        <v>9059</v>
      </c>
    </row>
    <row r="5" spans="1:15" ht="15.75">
      <c r="A5" s="67" t="s">
        <v>105</v>
      </c>
      <c r="B5" s="1"/>
      <c r="C5" s="68"/>
      <c r="E5" s="88" t="s">
        <v>106</v>
      </c>
      <c r="F5" s="65">
        <f>(B26+B35)-2560</f>
        <v>33269</v>
      </c>
      <c r="G5" s="73">
        <f>(C26+C35)-1636</f>
        <v>36800</v>
      </c>
    </row>
    <row r="6" spans="1:15" ht="15.75">
      <c r="A6" s="2" t="s">
        <v>6</v>
      </c>
      <c r="B6" s="76">
        <v>416</v>
      </c>
      <c r="C6" s="27">
        <v>1944</v>
      </c>
      <c r="E6" s="88" t="str">
        <f>A22</f>
        <v>Total assets</v>
      </c>
      <c r="F6" s="65">
        <f>B22</f>
        <v>197205</v>
      </c>
      <c r="G6" s="73">
        <f>C22</f>
        <v>181476</v>
      </c>
    </row>
    <row r="7" spans="1:15" ht="31.5">
      <c r="A7" s="2" t="s">
        <v>8</v>
      </c>
      <c r="B7" s="61">
        <v>22316</v>
      </c>
      <c r="C7" s="28">
        <v>29125</v>
      </c>
      <c r="E7" s="89" t="s">
        <v>107</v>
      </c>
      <c r="F7" s="65" cm="1">
        <f t="array" ref="F7:G7">'Sheet1- Corp. Profile &amp; Datas'!B57:C57</f>
        <v>95916</v>
      </c>
      <c r="G7" s="73">
        <v>77462</v>
      </c>
    </row>
    <row r="8" spans="1:15" ht="31.5">
      <c r="A8" s="2" t="s">
        <v>10</v>
      </c>
      <c r="B8" s="61">
        <v>10952</v>
      </c>
      <c r="C8" s="28">
        <v>11479</v>
      </c>
      <c r="E8" s="88" t="s">
        <v>108</v>
      </c>
      <c r="F8" s="65" cm="1">
        <f t="array" ref="F8:G8">'Sheet1- Corp. Profile &amp; Datas'!I17:J17</f>
        <v>34344</v>
      </c>
      <c r="G8" s="73">
        <v>30821</v>
      </c>
    </row>
    <row r="9" spans="1:15" ht="15.75">
      <c r="A9" s="2" t="s">
        <v>12</v>
      </c>
      <c r="B9" s="61">
        <v>8981</v>
      </c>
      <c r="C9" s="28">
        <v>9059</v>
      </c>
      <c r="E9" s="89" t="s">
        <v>109</v>
      </c>
      <c r="F9" s="65" cm="1">
        <f t="array" ref="F9:G9">'Sheet1- Corp. Profile &amp; Datas'!I41:J41</f>
        <v>5608</v>
      </c>
      <c r="G9" s="73">
        <v>5601</v>
      </c>
    </row>
    <row r="10" spans="1:15" ht="15.75">
      <c r="A10" s="2" t="s">
        <v>14</v>
      </c>
      <c r="B10" s="61">
        <v>3577</v>
      </c>
      <c r="C10" s="28">
        <v>4266</v>
      </c>
      <c r="E10" s="88" t="s">
        <v>110</v>
      </c>
      <c r="F10" s="65" cm="1">
        <f t="array" ref="F10:G10">'Sheet1- Corp. Profile &amp; Datas'!I15:J15</f>
        <v>100330</v>
      </c>
      <c r="G10" s="73">
        <v>81288</v>
      </c>
    </row>
    <row r="11" spans="1:15" ht="16.5" thickBot="1">
      <c r="A11" s="2" t="s">
        <v>16</v>
      </c>
      <c r="B11" s="77">
        <v>5017</v>
      </c>
      <c r="C11" s="29">
        <v>3820</v>
      </c>
      <c r="E11" s="89" t="s">
        <v>111</v>
      </c>
      <c r="F11" s="65">
        <f>'Sheet1- Corp. Profile &amp; Datas'!I15-'Sheet1- Corp. Profile &amp; Datas'!I17</f>
        <v>65986</v>
      </c>
      <c r="G11" s="73">
        <f>'Sheet1- Corp. Profile &amp; Datas'!J15-'Sheet1- Corp. Profile &amp; Datas'!J17</f>
        <v>50467</v>
      </c>
      <c r="N11" s="196"/>
      <c r="O11" s="196"/>
    </row>
    <row r="12" spans="1:15" ht="15.75">
      <c r="A12" s="64" t="s">
        <v>18</v>
      </c>
      <c r="B12" s="61">
        <v>51259</v>
      </c>
      <c r="C12" s="28">
        <v>59693</v>
      </c>
      <c r="E12" s="90" t="s">
        <v>112</v>
      </c>
      <c r="F12" s="91" cm="1">
        <f t="array" ref="F12:G12">'Sheet1- Corp. Profile &amp; Datas'!I30:J30</f>
        <v>31372</v>
      </c>
      <c r="G12" s="92">
        <v>21979</v>
      </c>
      <c r="N12" s="196"/>
      <c r="O12" s="196"/>
    </row>
    <row r="13" spans="1:15" ht="15.75">
      <c r="A13" s="75" t="s">
        <v>113</v>
      </c>
      <c r="B13" s="61"/>
      <c r="C13" s="28"/>
      <c r="E13" s="1"/>
      <c r="F13" s="1"/>
      <c r="G13" s="1"/>
      <c r="N13" s="196"/>
      <c r="O13" s="196"/>
    </row>
    <row r="14" spans="1:15" ht="15.75">
      <c r="A14" s="2" t="s">
        <v>20</v>
      </c>
      <c r="B14" s="61">
        <v>11033</v>
      </c>
      <c r="C14" s="28">
        <v>16472</v>
      </c>
      <c r="E14" s="87" t="s">
        <v>114</v>
      </c>
      <c r="F14" s="87" t="s">
        <v>115</v>
      </c>
      <c r="G14" s="87">
        <v>2022</v>
      </c>
      <c r="H14" s="87">
        <v>2021</v>
      </c>
      <c r="N14" s="196"/>
      <c r="O14" s="196"/>
    </row>
    <row r="15" spans="1:15" ht="15.75">
      <c r="A15" s="2" t="s">
        <v>22</v>
      </c>
      <c r="B15" s="61">
        <v>4036</v>
      </c>
      <c r="C15" s="28">
        <v>5054</v>
      </c>
      <c r="E15" s="95" t="s">
        <v>116</v>
      </c>
      <c r="F15" s="1" t="s">
        <v>117</v>
      </c>
      <c r="G15" s="93">
        <f>F2/F3</f>
        <v>1.2164554558830509</v>
      </c>
      <c r="H15" s="96">
        <f>G2/G3</f>
        <v>1.3989126104380023</v>
      </c>
      <c r="N15" s="196"/>
      <c r="O15" s="196"/>
    </row>
    <row r="16" spans="1:15" ht="15.75" customHeight="1">
      <c r="A16" s="2" t="s">
        <v>24</v>
      </c>
      <c r="B16" s="61">
        <v>16274</v>
      </c>
      <c r="C16" s="28">
        <v>14882</v>
      </c>
      <c r="E16" s="95" t="s">
        <v>118</v>
      </c>
      <c r="F16" s="1" t="s">
        <v>119</v>
      </c>
      <c r="G16" s="94">
        <f>(F2-F4)/F3</f>
        <v>1.0033224168209218</v>
      </c>
      <c r="H16" s="97">
        <f>(G2-G4)/G3</f>
        <v>1.1866138595298914</v>
      </c>
      <c r="N16" s="196"/>
      <c r="O16" s="196"/>
    </row>
    <row r="17" spans="1:15" ht="15.75">
      <c r="A17" s="2" t="s">
        <v>26</v>
      </c>
      <c r="B17" s="61">
        <v>43370</v>
      </c>
      <c r="C17" s="28">
        <v>25146</v>
      </c>
      <c r="E17" s="95" t="s">
        <v>120</v>
      </c>
      <c r="F17" s="1" t="s">
        <v>121</v>
      </c>
      <c r="G17" s="93">
        <f>F5/F6</f>
        <v>0.16870261910194975</v>
      </c>
      <c r="H17" s="96">
        <f>G5/G6</f>
        <v>0.20278163503713989</v>
      </c>
      <c r="N17" s="196"/>
      <c r="O17" s="196"/>
    </row>
    <row r="18" spans="1:15" ht="15.75">
      <c r="A18" s="2" t="s">
        <v>28</v>
      </c>
      <c r="B18" s="61">
        <v>51375</v>
      </c>
      <c r="C18" s="28">
        <v>49208</v>
      </c>
      <c r="E18" s="95" t="s">
        <v>122</v>
      </c>
      <c r="F18" s="1" t="s">
        <v>123</v>
      </c>
      <c r="G18" s="93">
        <f>F5/F7</f>
        <v>0.34685558196755495</v>
      </c>
      <c r="H18" s="96">
        <f>G5/G7</f>
        <v>0.47507164803387469</v>
      </c>
      <c r="N18" s="196"/>
      <c r="O18" s="196"/>
    </row>
    <row r="19" spans="1:15" ht="15.75">
      <c r="A19" s="2" t="s">
        <v>30</v>
      </c>
      <c r="B19" s="61">
        <v>6693</v>
      </c>
      <c r="C19" s="28">
        <v>3341</v>
      </c>
      <c r="E19" s="95" t="s">
        <v>124</v>
      </c>
      <c r="F19" s="1" t="s">
        <v>125</v>
      </c>
      <c r="G19" s="93">
        <f>F10/F6</f>
        <v>0.50875991988032754</v>
      </c>
      <c r="H19" s="96">
        <f>G10/G6</f>
        <v>0.44792699861138663</v>
      </c>
      <c r="N19" s="196"/>
      <c r="O19" s="196"/>
    </row>
    <row r="20" spans="1:15" ht="16.5" thickBot="1">
      <c r="A20" s="2" t="s">
        <v>32</v>
      </c>
      <c r="B20" s="77">
        <v>13163</v>
      </c>
      <c r="C20" s="29">
        <v>7679</v>
      </c>
      <c r="E20" s="95" t="s">
        <v>126</v>
      </c>
      <c r="F20" s="1" t="s">
        <v>127</v>
      </c>
      <c r="G20" s="93">
        <f>F8/F4</f>
        <v>3.8240730430909697</v>
      </c>
      <c r="H20" s="96">
        <f>G8/G4</f>
        <v>3.4022519041836849</v>
      </c>
      <c r="N20" s="196"/>
      <c r="O20" s="196"/>
    </row>
    <row r="21" spans="1:15" ht="16.5" thickBot="1">
      <c r="A21" s="64" t="s">
        <v>128</v>
      </c>
      <c r="B21" s="61">
        <f>SUM(B14:B20)</f>
        <v>145944</v>
      </c>
      <c r="C21" s="28">
        <f>SUM(C14:C20)</f>
        <v>121782</v>
      </c>
      <c r="E21" s="95" t="s">
        <v>129</v>
      </c>
      <c r="F21" s="61" t="s">
        <v>130</v>
      </c>
      <c r="G21" s="93">
        <f>F12/F6</f>
        <v>0.15908318754595471</v>
      </c>
      <c r="H21" s="96">
        <f>G12/G6</f>
        <v>0.12111243360003526</v>
      </c>
    </row>
    <row r="22" spans="1:15" ht="16.5" thickBot="1">
      <c r="A22" s="75" t="s">
        <v>34</v>
      </c>
      <c r="B22" s="78">
        <v>197205</v>
      </c>
      <c r="C22" s="30">
        <v>181476</v>
      </c>
      <c r="E22" s="95" t="s">
        <v>131</v>
      </c>
      <c r="F22" s="1" t="s">
        <v>132</v>
      </c>
      <c r="G22" s="93">
        <f>F12/F7</f>
        <v>0.3270778597939864</v>
      </c>
      <c r="H22" s="96">
        <f>G12/G7</f>
        <v>0.28373912369936227</v>
      </c>
    </row>
    <row r="23" spans="1:15" ht="16.5" thickTop="1">
      <c r="A23" s="2"/>
      <c r="B23" s="1"/>
      <c r="C23" s="26"/>
      <c r="E23" s="95" t="s">
        <v>133</v>
      </c>
      <c r="F23" s="1" t="s">
        <v>134</v>
      </c>
      <c r="G23" s="93">
        <f>F12/F9</f>
        <v>5.5941512125534949</v>
      </c>
      <c r="H23" s="96">
        <f>G12/G9</f>
        <v>3.9241206927334407</v>
      </c>
      <c r="O23" t="s">
        <v>135</v>
      </c>
    </row>
    <row r="24" spans="1:15" ht="15.75">
      <c r="A24" s="62" t="s">
        <v>36</v>
      </c>
      <c r="B24" s="1"/>
      <c r="C24" s="26"/>
      <c r="E24" s="98" t="s">
        <v>136</v>
      </c>
      <c r="F24" s="99" t="s">
        <v>137</v>
      </c>
      <c r="G24" s="100">
        <f>F11/F10</f>
        <v>0.65768962424000799</v>
      </c>
      <c r="H24" s="101">
        <f>G11/G10</f>
        <v>0.62084194469048326</v>
      </c>
    </row>
    <row r="25" spans="1:15" ht="15.75">
      <c r="A25" s="66" t="s">
        <v>138</v>
      </c>
      <c r="B25" s="1"/>
      <c r="C25" s="26"/>
    </row>
    <row r="26" spans="1:15" ht="31.5">
      <c r="A26" s="2" t="s">
        <v>38</v>
      </c>
      <c r="B26" s="76">
        <v>2945</v>
      </c>
      <c r="C26" s="27">
        <v>2241</v>
      </c>
    </row>
    <row r="27" spans="1:15" ht="15.75">
      <c r="A27" s="2" t="s">
        <v>40</v>
      </c>
      <c r="B27" s="61">
        <v>6809</v>
      </c>
      <c r="C27" s="28">
        <v>5578</v>
      </c>
    </row>
    <row r="28" spans="1:15" ht="15.75">
      <c r="A28" s="2" t="s">
        <v>42</v>
      </c>
      <c r="B28" s="61">
        <v>2303</v>
      </c>
      <c r="C28" s="28">
        <v>2249</v>
      </c>
    </row>
    <row r="29" spans="1:15" ht="15.75">
      <c r="A29" s="2" t="s">
        <v>43</v>
      </c>
      <c r="B29" s="61">
        <v>1587</v>
      </c>
      <c r="C29" s="28">
        <v>1266</v>
      </c>
    </row>
    <row r="30" spans="1:15" ht="15.75">
      <c r="A30" s="2" t="s">
        <v>44</v>
      </c>
      <c r="B30" s="61">
        <v>3407</v>
      </c>
      <c r="C30" s="28">
        <v>3332</v>
      </c>
    </row>
    <row r="31" spans="1:15" ht="15.75">
      <c r="A31" s="2" t="s">
        <v>46</v>
      </c>
      <c r="B31" s="61">
        <v>2520</v>
      </c>
      <c r="C31" s="28">
        <v>3067</v>
      </c>
    </row>
    <row r="32" spans="1:15" ht="16.5" thickBot="1">
      <c r="A32" s="2" t="s">
        <v>47</v>
      </c>
      <c r="B32" s="77">
        <v>22568</v>
      </c>
      <c r="C32" s="29">
        <v>24939</v>
      </c>
    </row>
    <row r="33" spans="1:6" ht="15.75">
      <c r="A33" s="64" t="s">
        <v>48</v>
      </c>
      <c r="B33" s="61">
        <v>42138</v>
      </c>
      <c r="C33" s="28">
        <v>42671</v>
      </c>
    </row>
    <row r="34" spans="1:6" ht="15.75">
      <c r="A34" s="75" t="s">
        <v>139</v>
      </c>
      <c r="B34" s="61"/>
      <c r="C34" s="28"/>
    </row>
    <row r="35" spans="1:6" ht="15.75">
      <c r="A35" s="2" t="s">
        <v>49</v>
      </c>
      <c r="B35" s="61">
        <v>32884</v>
      </c>
      <c r="C35" s="28">
        <v>36195</v>
      </c>
    </row>
    <row r="36" spans="1:6" ht="15.75">
      <c r="A36" s="2" t="s">
        <v>51</v>
      </c>
      <c r="B36" s="61">
        <v>2250</v>
      </c>
      <c r="C36" s="28">
        <v>3724</v>
      </c>
    </row>
    <row r="37" spans="1:6" ht="15.75">
      <c r="A37" s="2" t="s">
        <v>53</v>
      </c>
      <c r="B37" s="61">
        <v>1023</v>
      </c>
      <c r="C37" s="26">
        <v>349</v>
      </c>
    </row>
    <row r="38" spans="1:6" ht="15.75">
      <c r="A38" s="2" t="s">
        <v>54</v>
      </c>
      <c r="B38" s="61">
        <v>9812</v>
      </c>
      <c r="C38" s="28">
        <v>11331</v>
      </c>
    </row>
    <row r="39" spans="1:6" ht="16.5" thickBot="1">
      <c r="A39" s="2" t="s">
        <v>55</v>
      </c>
      <c r="B39" s="77">
        <v>13180</v>
      </c>
      <c r="C39" s="29">
        <v>9743</v>
      </c>
    </row>
    <row r="40" spans="1:6" ht="16.5" thickBot="1">
      <c r="A40" s="64" t="s">
        <v>140</v>
      </c>
      <c r="B40" s="61">
        <f>SUM(B35:B39)</f>
        <v>59149</v>
      </c>
      <c r="C40" s="28">
        <f>SUM(C35:C39)</f>
        <v>61342</v>
      </c>
      <c r="F40" s="60"/>
    </row>
    <row r="41" spans="1:6" ht="16.5" thickBot="1">
      <c r="A41" s="74" t="s">
        <v>56</v>
      </c>
      <c r="B41" s="78">
        <v>101288</v>
      </c>
      <c r="C41" s="30">
        <v>104013</v>
      </c>
    </row>
    <row r="42" spans="1:6" ht="16.5" thickTop="1">
      <c r="A42" s="1"/>
      <c r="B42" s="1"/>
      <c r="C42" s="85"/>
    </row>
    <row r="43" spans="1:6" ht="15.75">
      <c r="A43" s="3" t="s">
        <v>57</v>
      </c>
      <c r="B43" s="67"/>
      <c r="C43" s="26"/>
    </row>
    <row r="44" spans="1:6" ht="31.5">
      <c r="A44" s="2" t="s">
        <v>59</v>
      </c>
      <c r="B44" s="1">
        <v>476</v>
      </c>
      <c r="C44" s="26">
        <v>473</v>
      </c>
    </row>
    <row r="45" spans="1:6" ht="15.75">
      <c r="A45" s="1" t="s">
        <v>60</v>
      </c>
      <c r="B45" s="61">
        <v>91802</v>
      </c>
      <c r="C45" s="28">
        <v>90591</v>
      </c>
    </row>
    <row r="46" spans="1:6" ht="15.75">
      <c r="A46" s="1" t="s">
        <v>61</v>
      </c>
      <c r="B46" s="79">
        <v>-113969</v>
      </c>
      <c r="C46" s="31">
        <v>-111361</v>
      </c>
    </row>
    <row r="47" spans="1:6" ht="15.75">
      <c r="A47" s="1" t="s">
        <v>62</v>
      </c>
      <c r="B47" s="61">
        <v>125656</v>
      </c>
      <c r="C47" s="28">
        <v>103394</v>
      </c>
    </row>
    <row r="48" spans="1:6" ht="16.5" thickBot="1">
      <c r="A48" s="1" t="s">
        <v>63</v>
      </c>
      <c r="B48" s="80">
        <v>-8304</v>
      </c>
      <c r="C48" s="32">
        <v>-5897</v>
      </c>
    </row>
    <row r="49" spans="1:3" ht="15.75">
      <c r="A49" s="4" t="s">
        <v>64</v>
      </c>
      <c r="B49" s="61">
        <v>95661</v>
      </c>
      <c r="C49" s="28">
        <v>77201</v>
      </c>
    </row>
    <row r="50" spans="1:3" ht="16.5" thickBot="1">
      <c r="A50" s="1" t="s">
        <v>65</v>
      </c>
      <c r="B50" s="81">
        <v>256</v>
      </c>
      <c r="C50" s="33">
        <v>262</v>
      </c>
    </row>
    <row r="51" spans="1:3" ht="16.5" thickBot="1">
      <c r="A51" s="4" t="s">
        <v>66</v>
      </c>
      <c r="B51" s="82">
        <v>95916</v>
      </c>
      <c r="C51" s="34">
        <v>77462</v>
      </c>
    </row>
    <row r="52" spans="1:3" ht="16.5" thickBot="1">
      <c r="A52" s="84" t="s">
        <v>67</v>
      </c>
      <c r="B52" s="78">
        <v>197205</v>
      </c>
      <c r="C52" s="30">
        <v>181476</v>
      </c>
    </row>
    <row r="53" spans="1:3" ht="15.75" thickTop="1"/>
  </sheetData>
  <mergeCells count="12">
    <mergeCell ref="N20:O20"/>
    <mergeCell ref="B2:C2"/>
    <mergeCell ref="A1:C1"/>
    <mergeCell ref="N11:O11"/>
    <mergeCell ref="N12:O12"/>
    <mergeCell ref="N13:O13"/>
    <mergeCell ref="N14:O14"/>
    <mergeCell ref="N15:O15"/>
    <mergeCell ref="N16:O16"/>
    <mergeCell ref="N17:O17"/>
    <mergeCell ref="N18:O18"/>
    <mergeCell ref="N19:O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B54E-3847-4691-A36F-9869ED10759C}">
  <dimension ref="A1:G28"/>
  <sheetViews>
    <sheetView workbookViewId="0">
      <selection activeCell="G28" sqref="G28"/>
    </sheetView>
  </sheetViews>
  <sheetFormatPr defaultRowHeight="15"/>
  <cols>
    <col min="1" max="1" width="60.7109375" customWidth="1"/>
    <col min="2" max="3" width="12.85546875" customWidth="1"/>
    <col min="4" max="4" width="10.42578125" bestFit="1" customWidth="1"/>
  </cols>
  <sheetData>
    <row r="1" spans="1:4" ht="18.75">
      <c r="A1" s="193" t="s">
        <v>141</v>
      </c>
      <c r="B1" s="193"/>
      <c r="C1" s="193"/>
      <c r="D1" s="106"/>
    </row>
    <row r="2" spans="1:4" ht="15" customHeight="1">
      <c r="A2" s="106" t="s">
        <v>69</v>
      </c>
      <c r="B2" s="194" t="s">
        <v>3</v>
      </c>
      <c r="C2" s="194"/>
      <c r="D2" s="106"/>
    </row>
    <row r="3" spans="1:4" ht="15.75">
      <c r="A3" s="106"/>
      <c r="B3" s="131">
        <v>2022</v>
      </c>
      <c r="C3" s="131">
        <v>2021</v>
      </c>
      <c r="D3" s="132" t="s">
        <v>142</v>
      </c>
    </row>
    <row r="4" spans="1:4" ht="15.75">
      <c r="A4" s="133" t="s">
        <v>5</v>
      </c>
      <c r="B4" s="137">
        <v>100330</v>
      </c>
      <c r="C4" s="137">
        <v>81288</v>
      </c>
      <c r="D4" s="134">
        <v>0.23</v>
      </c>
    </row>
    <row r="5" spans="1:4" ht="15.75">
      <c r="A5" s="133" t="s">
        <v>143</v>
      </c>
      <c r="B5" s="136">
        <v>34344</v>
      </c>
      <c r="C5" s="136">
        <v>30821</v>
      </c>
      <c r="D5" s="134">
        <v>0.11</v>
      </c>
    </row>
    <row r="6" spans="1:4" ht="15.75">
      <c r="A6" s="133" t="s">
        <v>111</v>
      </c>
      <c r="B6" s="137">
        <v>65986</v>
      </c>
      <c r="C6" s="137">
        <v>50467</v>
      </c>
      <c r="D6" s="134">
        <v>0.31</v>
      </c>
    </row>
    <row r="7" spans="1:4" ht="15.75">
      <c r="A7" s="133" t="s">
        <v>144</v>
      </c>
      <c r="B7" s="106"/>
      <c r="C7" s="106"/>
      <c r="D7" s="106"/>
    </row>
    <row r="8" spans="1:4" ht="15.75">
      <c r="A8" s="153" t="s">
        <v>11</v>
      </c>
      <c r="B8" s="109">
        <v>13677</v>
      </c>
      <c r="C8" s="109">
        <v>12703</v>
      </c>
      <c r="D8" s="106"/>
    </row>
    <row r="9" spans="1:4" ht="15.75">
      <c r="A9" s="153" t="s">
        <v>13</v>
      </c>
      <c r="B9" s="109">
        <v>11428</v>
      </c>
      <c r="C9" s="109">
        <v>10360</v>
      </c>
      <c r="D9" s="106"/>
    </row>
    <row r="10" spans="1:4" ht="15.75">
      <c r="A10" s="153" t="s">
        <v>145</v>
      </c>
      <c r="B10" s="136">
        <v>6154</v>
      </c>
      <c r="C10" s="136">
        <v>3093</v>
      </c>
      <c r="D10" s="106"/>
    </row>
    <row r="11" spans="1:4" ht="15.75">
      <c r="A11" s="106" t="s">
        <v>146</v>
      </c>
      <c r="B11" s="136">
        <v>31259</v>
      </c>
      <c r="C11" s="136">
        <v>26156</v>
      </c>
      <c r="D11" s="134">
        <v>0.2</v>
      </c>
    </row>
    <row r="12" spans="1:4" ht="30.75">
      <c r="A12" s="154" t="s">
        <v>23</v>
      </c>
      <c r="B12" s="138">
        <v>34729</v>
      </c>
      <c r="C12" s="138">
        <v>24311</v>
      </c>
      <c r="D12" s="134">
        <v>0.43</v>
      </c>
    </row>
    <row r="13" spans="1:4" ht="15.75">
      <c r="A13" s="106" t="s">
        <v>147</v>
      </c>
      <c r="B13" s="136">
        <v>3328</v>
      </c>
      <c r="C13" s="136">
        <v>1852</v>
      </c>
      <c r="D13" s="106"/>
    </row>
    <row r="14" spans="1:4" ht="15.75">
      <c r="A14" s="133" t="s">
        <v>148</v>
      </c>
      <c r="B14" s="138">
        <v>31401</v>
      </c>
      <c r="C14" s="138">
        <v>22459</v>
      </c>
      <c r="D14" s="134">
        <v>0.4</v>
      </c>
    </row>
    <row r="15" spans="1:4" ht="15.75">
      <c r="A15" s="106" t="s">
        <v>29</v>
      </c>
      <c r="B15" s="135">
        <v>6</v>
      </c>
      <c r="C15" s="135">
        <v>-434</v>
      </c>
      <c r="D15" s="106"/>
    </row>
    <row r="16" spans="1:4" ht="15.75">
      <c r="A16" s="106" t="s">
        <v>31</v>
      </c>
      <c r="B16" s="109">
        <v>31407</v>
      </c>
      <c r="C16" s="109">
        <v>22025</v>
      </c>
      <c r="D16" s="134">
        <v>0.43</v>
      </c>
    </row>
    <row r="17" spans="1:7" ht="15.75">
      <c r="A17" s="106" t="s">
        <v>33</v>
      </c>
      <c r="B17" s="135">
        <v>35</v>
      </c>
      <c r="C17" s="135">
        <v>45</v>
      </c>
      <c r="D17" s="106"/>
    </row>
    <row r="18" spans="1:7" ht="15.75">
      <c r="A18" s="106" t="s">
        <v>35</v>
      </c>
      <c r="B18" s="139">
        <v>31372</v>
      </c>
      <c r="C18" s="139">
        <v>21979</v>
      </c>
      <c r="D18" s="134">
        <v>0.43</v>
      </c>
    </row>
    <row r="28" spans="1:7">
      <c r="G28" s="155"/>
    </row>
  </sheetData>
  <mergeCells count="2">
    <mergeCell ref="A1:C1"/>
    <mergeCell ref="B2: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16C7-24FD-4067-80C6-8FED73EDA1F6}">
  <dimension ref="A1:F29"/>
  <sheetViews>
    <sheetView workbookViewId="0">
      <selection activeCell="N19" sqref="N19"/>
    </sheetView>
  </sheetViews>
  <sheetFormatPr defaultRowHeight="15"/>
  <cols>
    <col min="1" max="1" width="77.42578125" bestFit="1" customWidth="1"/>
    <col min="2" max="2" width="13.5703125" bestFit="1" customWidth="1"/>
    <col min="3" max="3" width="12.42578125" bestFit="1" customWidth="1"/>
    <col min="4" max="4" width="16.7109375" bestFit="1" customWidth="1"/>
    <col min="5" max="5" width="23.7109375" customWidth="1"/>
  </cols>
  <sheetData>
    <row r="1" spans="1:5" ht="15.75">
      <c r="A1" s="157" t="s">
        <v>149</v>
      </c>
      <c r="B1" s="1"/>
      <c r="C1" s="1"/>
      <c r="D1" s="1"/>
      <c r="E1" s="1"/>
    </row>
    <row r="2" spans="1:5" ht="15.75">
      <c r="A2" s="158"/>
      <c r="B2" s="159">
        <v>2022</v>
      </c>
      <c r="C2" s="160">
        <v>2021</v>
      </c>
      <c r="D2" s="173" t="s">
        <v>150</v>
      </c>
      <c r="E2" s="172" t="s">
        <v>151</v>
      </c>
    </row>
    <row r="3" spans="1:5" ht="15.75">
      <c r="A3" s="158" t="s">
        <v>152</v>
      </c>
      <c r="B3" s="152">
        <f>34729+1238</f>
        <v>35967</v>
      </c>
      <c r="C3" s="177">
        <f>24311+1291</f>
        <v>25602</v>
      </c>
      <c r="D3" s="175">
        <f>B3-C3</f>
        <v>10365</v>
      </c>
      <c r="E3" s="162">
        <f>D3/C3</f>
        <v>0.40485118350128896</v>
      </c>
    </row>
    <row r="4" spans="1:5" ht="15.75">
      <c r="A4" s="158" t="s">
        <v>153</v>
      </c>
      <c r="B4" s="174">
        <v>100330</v>
      </c>
      <c r="C4" s="174">
        <v>81288</v>
      </c>
      <c r="D4" s="176">
        <f>B4-C4</f>
        <v>19042</v>
      </c>
      <c r="E4" s="163">
        <f>D4/C4</f>
        <v>0.23425351835449268</v>
      </c>
    </row>
    <row r="5" spans="1:5" ht="15.75">
      <c r="A5" s="164" t="s">
        <v>154</v>
      </c>
      <c r="B5" s="165"/>
      <c r="C5" s="166"/>
      <c r="D5" s="166"/>
      <c r="E5" s="167">
        <f>(E3/E4)/100</f>
        <v>1.7282608446829523E-2</v>
      </c>
    </row>
    <row r="8" spans="1:5">
      <c r="A8" s="184"/>
    </row>
    <row r="9" spans="1:5">
      <c r="A9" s="104" t="s">
        <v>155</v>
      </c>
    </row>
    <row r="10" spans="1:5" ht="15.75">
      <c r="A10" s="158"/>
      <c r="B10" s="168">
        <v>2022</v>
      </c>
      <c r="C10" s="161">
        <v>2021</v>
      </c>
    </row>
    <row r="11" spans="1:5" ht="15.75">
      <c r="A11" s="158" t="s">
        <v>156</v>
      </c>
      <c r="B11" s="178">
        <f>34729+1238</f>
        <v>35967</v>
      </c>
      <c r="C11" s="177">
        <f>'Sheet1- Corp. Profile &amp; Datas'!J24+1291</f>
        <v>25602</v>
      </c>
    </row>
    <row r="12" spans="1:5" ht="15.75">
      <c r="A12" s="158" t="s">
        <v>157</v>
      </c>
      <c r="B12" s="174">
        <f>'Sheet1- Corp. Profile &amp; Datas'!I24</f>
        <v>34729</v>
      </c>
      <c r="C12" s="179">
        <f>'Sheet1- Corp. Profile &amp; Datas'!J24</f>
        <v>24311</v>
      </c>
    </row>
    <row r="13" spans="1:5" ht="15.75">
      <c r="A13" s="164" t="s">
        <v>158</v>
      </c>
      <c r="B13" s="181">
        <f>B11/B12</f>
        <v>1.0356474416193959</v>
      </c>
      <c r="C13" s="181">
        <f>C11/C12</f>
        <v>1.0531035333799514</v>
      </c>
    </row>
    <row r="16" spans="1:5" ht="15.75">
      <c r="A16" s="157" t="s">
        <v>159</v>
      </c>
      <c r="B16" s="1"/>
    </row>
    <row r="17" spans="1:6" ht="15.75">
      <c r="A17" s="169" t="s">
        <v>154</v>
      </c>
      <c r="B17" s="170">
        <f>E5</f>
        <v>1.7282608446829523E-2</v>
      </c>
    </row>
    <row r="18" spans="1:6" ht="15.75">
      <c r="A18" s="169" t="s">
        <v>158</v>
      </c>
      <c r="B18" s="182">
        <f>AVERAGE(B13,C13)</f>
        <v>1.0443754874996736</v>
      </c>
    </row>
    <row r="19" spans="1:6" ht="15.75">
      <c r="A19" s="171" t="s">
        <v>160</v>
      </c>
      <c r="B19" s="180">
        <f>B17*B18</f>
        <v>1.8049532621923558E-2</v>
      </c>
    </row>
    <row r="25" spans="1:6">
      <c r="D25" s="105"/>
    </row>
    <row r="28" spans="1:6">
      <c r="F28" s="105"/>
    </row>
    <row r="29" spans="1:6">
      <c r="F29" s="105"/>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8141-092D-48CD-AB13-B96D2FF5A4C4}">
  <dimension ref="A1:L20"/>
  <sheetViews>
    <sheetView workbookViewId="0">
      <selection activeCell="R18" sqref="R18"/>
    </sheetView>
  </sheetViews>
  <sheetFormatPr defaultRowHeight="15.75"/>
  <cols>
    <col min="1" max="1" width="22.7109375" style="1" bestFit="1" customWidth="1"/>
    <col min="2" max="2" width="13.7109375" style="1" bestFit="1" customWidth="1"/>
    <col min="3" max="3" width="19.7109375" style="1" bestFit="1" customWidth="1"/>
    <col min="4" max="4" width="12.7109375" style="1" bestFit="1" customWidth="1"/>
    <col min="5" max="16384" width="9.140625" style="1"/>
  </cols>
  <sheetData>
    <row r="1" spans="1:12">
      <c r="A1" s="195" t="s">
        <v>161</v>
      </c>
      <c r="B1" s="195"/>
      <c r="C1" s="195"/>
      <c r="D1" s="195"/>
    </row>
    <row r="2" spans="1:12">
      <c r="A2" s="1" t="s">
        <v>69</v>
      </c>
      <c r="C2" s="187" t="s">
        <v>162</v>
      </c>
      <c r="D2" s="187"/>
    </row>
    <row r="3" spans="1:12">
      <c r="A3" s="3" t="s">
        <v>163</v>
      </c>
      <c r="C3" s="63">
        <v>2022</v>
      </c>
      <c r="D3" s="63">
        <v>2021</v>
      </c>
    </row>
    <row r="4" spans="1:12">
      <c r="A4" s="1" t="s">
        <v>164</v>
      </c>
      <c r="C4" s="183" cm="1">
        <f t="array" ref="C4:D4">'Sheet1- Corp. Profile &amp; Datas'!B19:C19</f>
        <v>8981</v>
      </c>
      <c r="D4" s="103">
        <v>9059</v>
      </c>
    </row>
    <row r="5" spans="1:12">
      <c r="A5" s="1" t="s">
        <v>108</v>
      </c>
      <c r="C5" s="183" cm="1">
        <f t="array" ref="C5:D5">'Sheet4- Income Statement'!B5:C5</f>
        <v>34344</v>
      </c>
      <c r="D5" s="103">
        <v>30821</v>
      </c>
    </row>
    <row r="6" spans="1:12">
      <c r="A6" s="1" t="s">
        <v>165</v>
      </c>
      <c r="C6" s="183">
        <f>'Sheet3- Ratios &amp; Balance Sheet'!B8-449</f>
        <v>10503</v>
      </c>
      <c r="D6" s="103">
        <f>'Sheet3- Ratios &amp; Balance Sheet'!C8-492</f>
        <v>10987</v>
      </c>
    </row>
    <row r="7" spans="1:12">
      <c r="A7" s="1" t="s">
        <v>166</v>
      </c>
      <c r="C7" s="183" cm="1">
        <f t="array" ref="C7:D7">'Sheet3- Ratios &amp; Balance Sheet'!B27:C27</f>
        <v>6809</v>
      </c>
      <c r="D7" s="103">
        <v>5578</v>
      </c>
    </row>
    <row r="8" spans="1:12">
      <c r="A8" s="1" t="s">
        <v>167</v>
      </c>
      <c r="B8" s="156">
        <f>AVERAGE('Sheet1- Corp. Profile &amp; Datas'!B19:C19)</f>
        <v>9020</v>
      </c>
      <c r="C8" s="103"/>
      <c r="D8" s="103"/>
    </row>
    <row r="9" spans="1:12">
      <c r="A9" s="1" t="s">
        <v>168</v>
      </c>
      <c r="B9" s="152">
        <f>AVERAGE(C6:D6)</f>
        <v>10745</v>
      </c>
      <c r="C9" s="103"/>
      <c r="D9" s="103"/>
    </row>
    <row r="10" spans="1:12">
      <c r="A10" s="1" t="s">
        <v>169</v>
      </c>
      <c r="B10" s="156">
        <f>AVERAGE('Sheet1- Corp. Profile &amp; Datas'!B34:C34)</f>
        <v>6193.5</v>
      </c>
      <c r="C10" s="103"/>
      <c r="D10" s="103"/>
    </row>
    <row r="11" spans="1:12" ht="31.5">
      <c r="A11" s="2" t="s">
        <v>170</v>
      </c>
      <c r="C11" s="72">
        <f>($B$8/C5)*365</f>
        <v>95.862450500815271</v>
      </c>
      <c r="D11" s="72">
        <f>($B$8/D5)*365</f>
        <v>106.82002530742027</v>
      </c>
      <c r="L11" s="70"/>
    </row>
    <row r="12" spans="1:12" ht="31.5">
      <c r="A12" s="2" t="s">
        <v>171</v>
      </c>
      <c r="C12" s="72">
        <f>(B9/'Sheet1- Corp. Profile &amp; Datas'!I15)*365</f>
        <v>39.09025216784611</v>
      </c>
      <c r="D12" s="72">
        <f>(B9/'Sheet1- Corp. Profile &amp; Datas'!J15)*365</f>
        <v>48.247281271528394</v>
      </c>
    </row>
    <row r="13" spans="1:12" ht="31.5">
      <c r="A13" s="2" t="s">
        <v>172</v>
      </c>
      <c r="C13" s="72">
        <f>($B$10/C5)*365</f>
        <v>65.823069531795952</v>
      </c>
      <c r="D13" s="72">
        <f>($B$10/D5)*365</f>
        <v>73.346987443626105</v>
      </c>
    </row>
    <row r="14" spans="1:12">
      <c r="A14" s="67" t="s">
        <v>173</v>
      </c>
      <c r="C14" s="72">
        <f>C11+C12-C13</f>
        <v>69.129633136865422</v>
      </c>
      <c r="D14" s="72">
        <f>D11+D12-D13</f>
        <v>81.720319135322555</v>
      </c>
    </row>
    <row r="20" spans="1:1">
      <c r="A20" s="61"/>
    </row>
  </sheetData>
  <mergeCells count="2">
    <mergeCell ref="A1:D1"/>
    <mergeCell ref="C2:D2"/>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E7756-167F-4BD3-8D77-3C5E6D3D17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Nesthy Bunagan</dc:creator>
  <cp:keywords/>
  <dc:description/>
  <cp:lastModifiedBy/>
  <cp:revision/>
  <dcterms:created xsi:type="dcterms:W3CDTF">2024-03-13T02:39:15Z</dcterms:created>
  <dcterms:modified xsi:type="dcterms:W3CDTF">2026-05-12T15:52:51Z</dcterms:modified>
  <cp:category/>
  <cp:contentStatus/>
</cp:coreProperties>
</file>